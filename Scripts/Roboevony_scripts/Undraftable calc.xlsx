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raftable Calc" sheetId="1" r:id="rId3"/>
  </sheets>
  <definedNames>
    <definedName name="NamedRange2">'Undraftable Calc'!$C$15</definedName>
    <definedName name="NamedRange1">'Undraftable Calc'!$C$16</definedName>
    <definedName name="test">'Undraftable Calc'!$C$15:$C$16</definedName>
    <definedName name="NamedRange3">'Undraftable Calc'!$C$15</definedName>
  </definedNames>
  <calcPr/>
</workbook>
</file>

<file path=xl/sharedStrings.xml><?xml version="1.0" encoding="utf-8"?>
<sst xmlns="http://schemas.openxmlformats.org/spreadsheetml/2006/main" count="28" uniqueCount="28">
  <si>
    <t>Undraftable Base</t>
  </si>
  <si>
    <t>Workers</t>
  </si>
  <si>
    <t>Warriors</t>
  </si>
  <si>
    <t>Scouts</t>
  </si>
  <si>
    <t>Pikes</t>
  </si>
  <si>
    <t>Swords</t>
  </si>
  <si>
    <t>Archers</t>
  </si>
  <si>
    <t>Cav</t>
  </si>
  <si>
    <t>Phract</t>
  </si>
  <si>
    <t>Ports</t>
  </si>
  <si>
    <t>Bals</t>
  </si>
  <si>
    <t>Only change the numbers in the blue boxes, don't TOUCH anything else.</t>
  </si>
  <si>
    <t>Rams</t>
  </si>
  <si>
    <t>Pults</t>
  </si>
  <si>
    <t>Troop type</t>
  </si>
  <si>
    <t>Troop Amount</t>
  </si>
  <si>
    <t>Base Draft Num</t>
  </si>
  <si>
    <t>Calc Draftable Ratios</t>
  </si>
  <si>
    <t>Return Status</t>
  </si>
  <si>
    <t>If draft/undraft cond.</t>
  </si>
  <si>
    <t>Troop Type</t>
  </si>
  <si>
    <t>Your troop amount</t>
  </si>
  <si>
    <t xml:space="preserve">Draftable % </t>
  </si>
  <si>
    <t>5% draft</t>
  </si>
  <si>
    <t>10% draft</t>
  </si>
  <si>
    <t>Count till Next draftable</t>
  </si>
  <si>
    <t>Count till Next unDraftable</t>
  </si>
  <si>
    <t>Count to Previous draftable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</si>
</sst>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18">
    <font>
      <sz val="10.0"/>
      <color rgb="FF000000"/>
      <name val="Arial"/>
    </font>
    <font>
      <sz val="10.0"/>
      <color rgb="FFCCCCCC"/>
    </font>
    <font>
      <sz val="10.0"/>
      <color rgb="FF980000"/>
    </font>
    <font>
      <sz val="10.0"/>
      <color rgb="FFFF00FF"/>
    </font>
    <font>
      <sz val="24.0"/>
    </font>
    <font/>
    <font>
      <sz val="10.0"/>
      <color rgb="FFFFFFFF"/>
    </font>
    <font>
      <b/>
      <sz val="10.0"/>
      <color rgb="FFFF0000"/>
    </font>
    <font>
      <sz val="10.0"/>
      <color rgb="FFFF0000"/>
    </font>
    <font>
      <sz val="10.0"/>
      <color rgb="FF0000FF"/>
    </font>
    <font>
      <b/>
      <sz val="10.0"/>
      <color rgb="FFFFFFFF"/>
    </font>
    <font>
      <b/>
      <sz val="11.0"/>
      <color rgb="FF990000"/>
    </font>
    <font>
      <i/>
      <sz val="10.0"/>
      <color rgb="FF0000FF"/>
    </font>
    <font>
      <sz val="10.0"/>
    </font>
    <font>
      <b/>
      <sz val="10.0"/>
    </font>
    <font>
      <b/>
      <sz val="12.0"/>
    </font>
    <font>
      <b/>
      <sz val="10.0"/>
      <color rgb="FF1155CC"/>
    </font>
    <font>
      <b/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2" fontId="7" numFmtId="0" xfId="0" applyAlignment="1" applyFill="1" applyFont="1">
      <alignment horizontal="center" readingOrder="0" shrinkToFit="0" vertical="bottom" wrapText="1"/>
    </xf>
    <xf borderId="0" fillId="3" fontId="10" numFmtId="0" xfId="0" applyAlignment="1" applyFill="1" applyFont="1">
      <alignment horizontal="center" readingOrder="0" shrinkToFit="0" vertical="bottom" wrapText="1"/>
    </xf>
    <xf borderId="0" fillId="4" fontId="11" numFmtId="0" xfId="0" applyAlignment="1" applyFill="1" applyFont="1">
      <alignment horizontal="right" readingOrder="0" shrinkToFit="0" vertical="bottom" wrapText="1"/>
    </xf>
    <xf borderId="0" fillId="0" fontId="12" numFmtId="0" xfId="0" applyAlignment="1" applyFont="1">
      <alignment shrinkToFit="0" wrapText="1"/>
    </xf>
    <xf borderId="0" fillId="0" fontId="13" numFmtId="164" xfId="0" applyAlignment="1" applyFont="1" applyNumberFormat="1">
      <alignment horizontal="right" readingOrder="0" shrinkToFit="0" vertical="bottom" wrapText="1"/>
    </xf>
    <xf borderId="0" fillId="3" fontId="10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14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wrapText="1"/>
    </xf>
    <xf borderId="0" fillId="0" fontId="14" numFmtId="164" xfId="0" applyAlignment="1" applyFont="1" applyNumberFormat="1">
      <alignment horizontal="right" shrinkToFit="0" vertical="bottom" wrapText="1"/>
    </xf>
    <xf borderId="0" fillId="0" fontId="6" numFmtId="0" xfId="0" applyAlignment="1" applyFont="1">
      <alignment shrinkToFit="0" wrapText="1"/>
    </xf>
    <xf borderId="0" fillId="0" fontId="15" numFmtId="0" xfId="0" applyAlignment="1" applyFont="1">
      <alignment horizontal="center" shrinkToFit="0" vertical="bottom" wrapText="1"/>
    </xf>
    <xf borderId="0" fillId="0" fontId="14" numFmtId="0" xfId="0" applyAlignment="1" applyFont="1">
      <alignment readingOrder="0" shrinkToFit="0" wrapText="1"/>
    </xf>
    <xf borderId="0" fillId="0" fontId="16" numFmtId="164" xfId="0" applyAlignment="1" applyFont="1" applyNumberFormat="1">
      <alignment horizontal="right" shrinkToFit="0" vertical="bottom" wrapText="1"/>
    </xf>
    <xf borderId="0" fillId="0" fontId="17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16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21.14"/>
    <col customWidth="1" min="2" max="3" width="17.29"/>
    <col customWidth="1" min="4" max="4" width="67.29"/>
    <col customWidth="1" min="5" max="6" width="17.29"/>
    <col customWidth="1" min="7" max="7" width="33.29"/>
    <col customWidth="1" min="8" max="20" width="17.29"/>
  </cols>
  <sheetData>
    <row r="1">
      <c r="B1" s="1" t="s">
        <v>0</v>
      </c>
      <c r="D1" s="2"/>
      <c r="F1" s="3"/>
      <c r="G1" s="4"/>
    </row>
    <row r="2">
      <c r="A2" s="5" t="s">
        <v>1</v>
      </c>
      <c r="B2" s="6">
        <v>9544372.0</v>
      </c>
      <c r="D2" s="2"/>
    </row>
    <row r="3">
      <c r="A3" s="5" t="s">
        <v>2</v>
      </c>
      <c r="B3" s="6">
        <v>7040930.0</v>
      </c>
    </row>
    <row r="4">
      <c r="A4" s="5" t="s">
        <v>3</v>
      </c>
      <c r="B4" s="6">
        <v>3089905.0</v>
      </c>
      <c r="D4" s="7"/>
    </row>
    <row r="5">
      <c r="A5" s="5" t="s">
        <v>4</v>
      </c>
      <c r="B5" s="6">
        <v>2386093.0</v>
      </c>
      <c r="D5" s="7"/>
    </row>
    <row r="6">
      <c r="A6" s="5" t="s">
        <v>5</v>
      </c>
      <c r="B6" s="6">
        <v>1590729.0</v>
      </c>
      <c r="D6" s="7"/>
    </row>
    <row r="7">
      <c r="A7" s="5" t="s">
        <v>6</v>
      </c>
      <c r="B7" s="6">
        <v>1590729.0</v>
      </c>
      <c r="D7" s="8"/>
    </row>
    <row r="8">
      <c r="A8" s="5" t="s">
        <v>7</v>
      </c>
      <c r="B8" s="6">
        <v>753503.0</v>
      </c>
    </row>
    <row r="9">
      <c r="A9" s="5" t="s">
        <v>8</v>
      </c>
      <c r="B9" s="6">
        <v>245427.0</v>
      </c>
      <c r="D9" s="9"/>
    </row>
    <row r="10">
      <c r="A10" s="5" t="s">
        <v>9</v>
      </c>
      <c r="B10" s="6">
        <v>721843.0</v>
      </c>
      <c r="D10" s="10"/>
    </row>
    <row r="11">
      <c r="A11" s="5" t="s">
        <v>10</v>
      </c>
      <c r="B11" s="6">
        <v>214748.0</v>
      </c>
      <c r="D11" s="11" t="s">
        <v>11</v>
      </c>
    </row>
    <row r="12">
      <c r="A12" s="5" t="s">
        <v>12</v>
      </c>
      <c r="B12" s="6">
        <v>156181.0</v>
      </c>
    </row>
    <row r="13">
      <c r="A13" s="5" t="s">
        <v>13</v>
      </c>
      <c r="B13" s="6">
        <v>74051.0</v>
      </c>
    </row>
    <row r="14">
      <c r="A14" s="12">
        <v>4.0</v>
      </c>
    </row>
    <row r="15">
      <c r="A15" s="5" t="s">
        <v>14</v>
      </c>
      <c r="B15" s="13">
        <v>8.0</v>
      </c>
      <c r="C15" s="14"/>
    </row>
    <row r="16">
      <c r="A16" s="5" t="s">
        <v>15</v>
      </c>
      <c r="B16" s="15">
        <v>9.79315299E8</v>
      </c>
      <c r="C16" s="14"/>
    </row>
    <row r="17">
      <c r="A17" s="16"/>
    </row>
    <row r="18">
      <c r="A18" s="5" t="s">
        <v>16</v>
      </c>
      <c r="B18" s="17">
        <f>if(B15=2,B2,0)+if(B15=3,B3,0)+if(B15=4,B4,0)+if(B15=5,B5,0)+if(B15=6,B6,0)+if(B15=7,B7,0)+if(B15=8,B8,0)+if(B15=9,B9,0)+if(B15=10,B10,0)+if(B15=11,B11,0)+if(B15=12,B12,0)+if(B15=13,B13,0)</f>
        <v>753503</v>
      </c>
    </row>
    <row r="19">
      <c r="A19" s="5" t="s">
        <v>17</v>
      </c>
      <c r="B19" s="17">
        <f>sum(B16/B18)</f>
        <v>1299.683344</v>
      </c>
    </row>
    <row r="20">
      <c r="A20" s="5" t="s">
        <v>18</v>
      </c>
      <c r="B20" s="18" t="str">
        <f>IF(ISEVEN(B19),"Draftable","Undraftable")</f>
        <v>Undraftable</v>
      </c>
    </row>
    <row r="21">
      <c r="A21" s="5" t="s">
        <v>19</v>
      </c>
      <c r="B21" s="18">
        <f>if(B20 = "ODD",B25,B23)</f>
        <v>978800397</v>
      </c>
    </row>
    <row r="22">
      <c r="A22" s="5" t="s">
        <v>20</v>
      </c>
      <c r="B22" s="18" t="str">
        <f>D23</f>
        <v>Cav</v>
      </c>
    </row>
    <row r="23">
      <c r="A23" s="19" t="str">
        <f>IF(ISEVEN(C23),"Last Draftable","Last Undraftable")</f>
        <v>Last Draftable</v>
      </c>
      <c r="B23" s="20">
        <f>sum(B18*rounddown(B19))</f>
        <v>978800397</v>
      </c>
      <c r="C23" s="21">
        <f>sum(B19-1)</f>
        <v>1298.683344</v>
      </c>
      <c r="D23" s="22" t="str">
        <f>indirect("A"&amp;TRIM(B15))</f>
        <v>Cav</v>
      </c>
    </row>
    <row r="24">
      <c r="A24" s="23" t="s">
        <v>21</v>
      </c>
      <c r="B24" s="24">
        <f>B16</f>
        <v>979315299</v>
      </c>
      <c r="C24" s="21">
        <f>sum(B16/B18)</f>
        <v>1299.683344</v>
      </c>
      <c r="D24" s="25" t="str">
        <f>if(B20 = "Draftable", "Your troops are Draftable", "Your troops are Undraftable")</f>
        <v>Your troops are Undraftable</v>
      </c>
    </row>
    <row r="25">
      <c r="A25" s="19" t="str">
        <f>IF(ISEVEN(C25),"Next Draftable","Next Undraftable")</f>
        <v>Next Draftable</v>
      </c>
      <c r="B25" s="20">
        <f>sum(B18*roundup(B19))</f>
        <v>979553900</v>
      </c>
      <c r="C25" s="21">
        <f>sum(B19+1)</f>
        <v>1300.683344</v>
      </c>
    </row>
    <row r="26">
      <c r="A26" s="19" t="str">
        <f>IF(ISEVEN(C26),"Future Draftable","Future Undraftable")</f>
        <v>Future Undraftable</v>
      </c>
      <c r="B26" s="20">
        <f>sum(B18*roundup(B19+1))</f>
        <v>980307403</v>
      </c>
      <c r="C26" s="21">
        <f>sum(B19+2)</f>
        <v>1301.683344</v>
      </c>
    </row>
    <row r="27">
      <c r="B27" s="26"/>
      <c r="D27" s="27" t="s">
        <v>22</v>
      </c>
      <c r="E27">
        <f>DIVIDE(B24,B25) </f>
        <v>0.9997564187</v>
      </c>
    </row>
    <row r="28">
      <c r="A28" s="5" t="s">
        <v>23</v>
      </c>
      <c r="B28" s="17">
        <f>B16 * 0.05</f>
        <v>48965764.95</v>
      </c>
    </row>
    <row r="29">
      <c r="A29" s="5" t="s">
        <v>24</v>
      </c>
      <c r="B29" s="17">
        <f>B16 * 0.1</f>
        <v>97931529.9</v>
      </c>
    </row>
    <row r="30">
      <c r="B30" s="26"/>
    </row>
    <row r="31">
      <c r="A31" s="27" t="s">
        <v>25</v>
      </c>
      <c r="B31" s="28">
        <f>if(D24="Your troops are unDraftable", B25-B24, "not Draftable")</f>
        <v>238601</v>
      </c>
    </row>
    <row r="32">
      <c r="A32" s="27" t="s">
        <v>26</v>
      </c>
      <c r="B32" s="26" t="b">
        <f>if(D24="Your troops are Draftable", B24-B25)</f>
        <v>0</v>
      </c>
    </row>
    <row r="33">
      <c r="A33" s="27" t="s">
        <v>27</v>
      </c>
      <c r="B33" s="28">
        <f>sum(B24-B23)</f>
        <v>514902</v>
      </c>
    </row>
    <row r="34">
      <c r="A34" s="27"/>
      <c r="B34" s="26"/>
    </row>
    <row r="35">
      <c r="B35" s="26"/>
    </row>
    <row r="36">
      <c r="B36" s="26"/>
    </row>
    <row r="37">
      <c r="B37" s="26"/>
    </row>
    <row r="38">
      <c r="B38" s="26"/>
    </row>
    <row r="39">
      <c r="B39" s="26"/>
    </row>
    <row r="40">
      <c r="B40" s="26"/>
    </row>
    <row r="41">
      <c r="B41" s="26"/>
    </row>
    <row r="42">
      <c r="B42" s="26"/>
    </row>
    <row r="43">
      <c r="B43" s="26"/>
    </row>
    <row r="44">
      <c r="B44" s="26"/>
    </row>
    <row r="45">
      <c r="B45" s="26"/>
    </row>
    <row r="46">
      <c r="B46" s="26"/>
    </row>
    <row r="47">
      <c r="B47" s="26"/>
    </row>
    <row r="48">
      <c r="B48" s="26"/>
    </row>
    <row r="49">
      <c r="B49" s="26"/>
    </row>
    <row r="50">
      <c r="B50" s="26"/>
    </row>
    <row r="51">
      <c r="B51" s="26"/>
    </row>
    <row r="52">
      <c r="B52" s="26"/>
    </row>
    <row r="53">
      <c r="B53" s="26"/>
    </row>
    <row r="54">
      <c r="B54" s="26"/>
    </row>
    <row r="55">
      <c r="B55" s="26"/>
    </row>
    <row r="56">
      <c r="B56" s="26"/>
    </row>
    <row r="57">
      <c r="B57" s="26"/>
    </row>
    <row r="58">
      <c r="B58" s="26"/>
    </row>
    <row r="59">
      <c r="B59" s="26"/>
    </row>
    <row r="60">
      <c r="B60" s="26"/>
    </row>
    <row r="61">
      <c r="B61" s="26"/>
    </row>
    <row r="62">
      <c r="B62" s="26"/>
    </row>
    <row r="63">
      <c r="B63" s="26"/>
    </row>
    <row r="64">
      <c r="B64" s="26"/>
    </row>
    <row r="65">
      <c r="B65" s="26"/>
    </row>
    <row r="66">
      <c r="B66" s="26"/>
    </row>
    <row r="67">
      <c r="B67" s="26"/>
    </row>
    <row r="68">
      <c r="B68" s="26"/>
    </row>
    <row r="69">
      <c r="B69" s="26"/>
    </row>
    <row r="70">
      <c r="B70" s="26"/>
    </row>
    <row r="71">
      <c r="B71" s="26"/>
    </row>
    <row r="72">
      <c r="B72" s="26"/>
    </row>
    <row r="73">
      <c r="B73" s="26"/>
    </row>
    <row r="74">
      <c r="B74" s="26"/>
    </row>
    <row r="75">
      <c r="B75" s="26"/>
    </row>
    <row r="76">
      <c r="B76" s="26"/>
    </row>
    <row r="77">
      <c r="B77" s="26"/>
    </row>
    <row r="78">
      <c r="B78" s="26"/>
    </row>
    <row r="79">
      <c r="B79" s="26"/>
    </row>
    <row r="80">
      <c r="B80" s="26"/>
    </row>
    <row r="81">
      <c r="B81" s="26"/>
    </row>
    <row r="82">
      <c r="B82" s="26"/>
    </row>
    <row r="83">
      <c r="B83" s="26"/>
    </row>
    <row r="84">
      <c r="B84" s="26"/>
    </row>
    <row r="85">
      <c r="B85" s="26"/>
    </row>
    <row r="86">
      <c r="B86" s="26"/>
    </row>
    <row r="87">
      <c r="B87" s="26"/>
    </row>
    <row r="88">
      <c r="B88" s="26"/>
    </row>
    <row r="89">
      <c r="B89" s="26"/>
    </row>
    <row r="90">
      <c r="B90" s="26"/>
    </row>
    <row r="91">
      <c r="B91" s="26"/>
    </row>
    <row r="92">
      <c r="B92" s="26"/>
    </row>
    <row r="93">
      <c r="B93" s="26"/>
    </row>
    <row r="94">
      <c r="B94" s="26"/>
    </row>
    <row r="95">
      <c r="B95" s="26"/>
    </row>
    <row r="96">
      <c r="B96" s="26"/>
    </row>
    <row r="97">
      <c r="B97" s="26"/>
    </row>
    <row r="98">
      <c r="B98" s="26"/>
    </row>
    <row r="99">
      <c r="B99" s="26"/>
    </row>
    <row r="100">
      <c r="B100" s="26"/>
    </row>
    <row r="101">
      <c r="B101" s="26"/>
    </row>
    <row r="102">
      <c r="B102" s="26"/>
    </row>
    <row r="103">
      <c r="B103" s="26"/>
    </row>
  </sheetData>
  <mergeCells count="2">
    <mergeCell ref="A14:D14"/>
    <mergeCell ref="A17:D17"/>
  </mergeCells>
  <drawing r:id="rId1"/>
</worksheet>
</file>