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an Logs" sheetId="1" r:id="rId3"/>
    <sheet state="visible" name="Khans Mains" sheetId="2" r:id="rId4"/>
    <sheet state="visible" name="16 Holders" sheetId="3" r:id="rId5"/>
    <sheet state="visible" name="Stealth" sheetId="4" r:id="rId6"/>
    <sheet state="visible" name="Hugo" sheetId="5" r:id="rId7"/>
    <sheet state="visible" name="Merida" sheetId="6" r:id="rId8"/>
    <sheet state="visible" name="Khans Alts" sheetId="7" r:id="rId9"/>
    <sheet state="visible" name="MadBall" sheetId="8" r:id="rId10"/>
    <sheet state="visible" name="Shawne old" sheetId="9" r:id="rId11"/>
    <sheet state="visible" name="Mudslinger" sheetId="10" r:id="rId12"/>
    <sheet state="visible" name="Lion" sheetId="11" r:id="rId13"/>
    <sheet state="visible" name="Stealth2" sheetId="12" r:id="rId14"/>
    <sheet state="visible" name="Sheet12" sheetId="13" r:id="rId15"/>
    <sheet state="visible" name="Tri" sheetId="14" r:id="rId16"/>
    <sheet state="visible" name="Borg" sheetId="15" r:id="rId17"/>
    <sheet state="visible" name="Extra info" sheetId="16" r:id="rId18"/>
    <sheet state="visible" name="Copy of Ogs Logins" sheetId="17" r:id="rId19"/>
  </sheets>
  <definedNames/>
  <calcPr/>
</workbook>
</file>

<file path=xl/sharedStrings.xml><?xml version="1.0" encoding="utf-8"?>
<sst xmlns="http://schemas.openxmlformats.org/spreadsheetml/2006/main" count="4011" uniqueCount="1839">
  <si>
    <t>m</t>
  </si>
  <si>
    <t>CURRENT OWNER/USER</t>
  </si>
  <si>
    <t>EMAIL</t>
  </si>
  <si>
    <t>PASSWORD</t>
  </si>
  <si>
    <t>STATUS</t>
  </si>
  <si>
    <t>INHERITED FROM</t>
  </si>
  <si>
    <t>NOTES</t>
  </si>
  <si>
    <t>LEGEND</t>
  </si>
  <si>
    <t>Barbaric</t>
  </si>
  <si>
    <t>Barb</t>
  </si>
  <si>
    <t>danman5625@yahoo.com</t>
  </si>
  <si>
    <t>babycat9a7xcx9</t>
  </si>
  <si>
    <t>inactive</t>
  </si>
  <si>
    <t>Main</t>
  </si>
  <si>
    <t>BastardSOB</t>
  </si>
  <si>
    <t>Laney</t>
  </si>
  <si>
    <t>active</t>
  </si>
  <si>
    <t>Owner</t>
  </si>
  <si>
    <t>Betty Boo</t>
  </si>
  <si>
    <t>Ironkhan</t>
  </si>
  <si>
    <t>blown@hotmail.com.au</t>
  </si>
  <si>
    <t>knights</t>
  </si>
  <si>
    <t>Khans</t>
  </si>
  <si>
    <t>??</t>
  </si>
  <si>
    <t>Blown</t>
  </si>
  <si>
    <t>Shawne</t>
  </si>
  <si>
    <t>connolly@bigpond.net.au</t>
  </si>
  <si>
    <t>knights29</t>
  </si>
  <si>
    <t>San Jose 9,9</t>
  </si>
  <si>
    <t>Borg</t>
  </si>
  <si>
    <t>Tarasdbe@yahoo.com</t>
  </si>
  <si>
    <t>bojangles5</t>
  </si>
  <si>
    <t>Jerusalem 16</t>
  </si>
  <si>
    <t>Bow2master</t>
  </si>
  <si>
    <t>Og/Mad</t>
  </si>
  <si>
    <t>chuckc417@yahoo.com</t>
  </si>
  <si>
    <t>Shr140414</t>
  </si>
  <si>
    <t>Olathe 99,99</t>
  </si>
  <si>
    <t>Chilo</t>
  </si>
  <si>
    <t xml:space="preserve">NONE </t>
  </si>
  <si>
    <t>nmchilo@yahoo.com</t>
  </si>
  <si>
    <t>chichilobruno</t>
  </si>
  <si>
    <t>Chipmunk</t>
  </si>
  <si>
    <t>Merida</t>
  </si>
  <si>
    <t>tprrph@hotmail.com</t>
  </si>
  <si>
    <t>thomas1962</t>
  </si>
  <si>
    <t>Cluricaun</t>
  </si>
  <si>
    <t>Lion</t>
  </si>
  <si>
    <t>danieltest@dragonfly.com</t>
  </si>
  <si>
    <t>chainer88</t>
  </si>
  <si>
    <t>Owned</t>
  </si>
  <si>
    <t>Cuchulainn Feeder</t>
  </si>
  <si>
    <t>Coachteet</t>
  </si>
  <si>
    <t>Hugo</t>
  </si>
  <si>
    <t>coachteet80@gmail.com</t>
  </si>
  <si>
    <t>Gandalf*4377</t>
  </si>
  <si>
    <t>CrazyCungy</t>
  </si>
  <si>
    <t>jnsmu97@aol.com</t>
  </si>
  <si>
    <t>yonkers265</t>
  </si>
  <si>
    <t>CrazyTurk</t>
  </si>
  <si>
    <t>toygarc@hotmail.com</t>
  </si>
  <si>
    <t>nailbomb123</t>
  </si>
  <si>
    <t>Bought</t>
  </si>
  <si>
    <t>Cuchulainn</t>
  </si>
  <si>
    <t>domexdan@yahoo.com</t>
  </si>
  <si>
    <t>Loyang 16</t>
  </si>
  <si>
    <t>Cyra</t>
  </si>
  <si>
    <t>ebraff@yahoo.com</t>
  </si>
  <si>
    <t>Wombat091</t>
  </si>
  <si>
    <t>Deathlock</t>
  </si>
  <si>
    <t>Madball</t>
  </si>
  <si>
    <t>foxtrotbest12@yahoo.ie</t>
  </si>
  <si>
    <t>pinkranger</t>
  </si>
  <si>
    <t>Ditrus</t>
  </si>
  <si>
    <t>st.survivor@hotmail.com</t>
  </si>
  <si>
    <t>ilovemywife69</t>
  </si>
  <si>
    <t>Draknor</t>
  </si>
  <si>
    <t>madball</t>
  </si>
  <si>
    <t>pcmentors@hotmail.com</t>
  </si>
  <si>
    <t>Helio675</t>
  </si>
  <si>
    <t>DrgnLdy</t>
  </si>
  <si>
    <t>tenabutter@gmail.com</t>
  </si>
  <si>
    <t>brigadeog</t>
  </si>
  <si>
    <t>Gargoyle</t>
  </si>
  <si>
    <t>kevincarbray@hotmail.com</t>
  </si>
  <si>
    <t>flee888</t>
  </si>
  <si>
    <t>Heimdall</t>
  </si>
  <si>
    <t>nelsonsantiago@verizon.net</t>
  </si>
  <si>
    <t>carbon</t>
  </si>
  <si>
    <t>Incindra</t>
  </si>
  <si>
    <t>rockfriedman@yahoo.com</t>
  </si>
  <si>
    <t>emtfool08</t>
  </si>
  <si>
    <t>Ironclad</t>
  </si>
  <si>
    <t>marknewsome1@sky.com</t>
  </si>
  <si>
    <t>Newsome@1970</t>
  </si>
  <si>
    <t>Canbera 16</t>
  </si>
  <si>
    <t>Jamcaveman</t>
  </si>
  <si>
    <t>jamcaveman357@att.net</t>
  </si>
  <si>
    <t>JesseJames</t>
  </si>
  <si>
    <t>dirklaw@yahoo.com</t>
  </si>
  <si>
    <t>123dirklaw098</t>
  </si>
  <si>
    <t>Kai/Troll</t>
  </si>
  <si>
    <t>Kai</t>
  </si>
  <si>
    <t>erez_11@yahoo.com</t>
  </si>
  <si>
    <t>Kai123</t>
  </si>
  <si>
    <t>semi</t>
  </si>
  <si>
    <t>Dakar Bav 14</t>
  </si>
  <si>
    <t>Kenneth87</t>
  </si>
  <si>
    <t>peterj23@hotmail.co.uk</t>
  </si>
  <si>
    <t>Kenzo Gt</t>
  </si>
  <si>
    <t>kenzoevony@gmail.com</t>
  </si>
  <si>
    <t>Kistari</t>
  </si>
  <si>
    <t>kistari@cox.net</t>
  </si>
  <si>
    <t>Sunnyvale</t>
  </si>
  <si>
    <t>semi/other server</t>
  </si>
  <si>
    <t>Krunk</t>
  </si>
  <si>
    <t>prince_medo_eg@hotmail.com</t>
  </si>
  <si>
    <t>jojo1999</t>
  </si>
  <si>
    <t>Libreville 495,297</t>
  </si>
  <si>
    <t>LadyAsci</t>
  </si>
  <si>
    <t>mdepender@ziggo.nl</t>
  </si>
  <si>
    <t>k3t3lbinkY!</t>
  </si>
  <si>
    <t>LadyTara</t>
  </si>
  <si>
    <t>None - Gov</t>
  </si>
  <si>
    <t>celticchef2000@aol.com</t>
  </si>
  <si>
    <t>evony123</t>
  </si>
  <si>
    <t>NA</t>
  </si>
  <si>
    <t>Gov</t>
  </si>
  <si>
    <t>chrissye-1@netzero.net</t>
  </si>
  <si>
    <t>Cmstrec1181</t>
  </si>
  <si>
    <t>Moscow 16</t>
  </si>
  <si>
    <t>Unknown</t>
  </si>
  <si>
    <t>LastKing</t>
  </si>
  <si>
    <t>rainman3232@gmail.com</t>
  </si>
  <si>
    <t>MagicLie</t>
  </si>
  <si>
    <t>Cat</t>
  </si>
  <si>
    <t>treacy@rollanet.org</t>
  </si>
  <si>
    <t>goose321</t>
  </si>
  <si>
    <t>MannyG</t>
  </si>
  <si>
    <t>casper181@hotmail.com</t>
  </si>
  <si>
    <t>Master18</t>
  </si>
  <si>
    <t>Mantika</t>
  </si>
  <si>
    <t>tikaevo@gmail.com</t>
  </si>
  <si>
    <t>gaybounce</t>
  </si>
  <si>
    <t>Maverik</t>
  </si>
  <si>
    <t>curledmango@yahoo.com</t>
  </si>
  <si>
    <t>austin</t>
  </si>
  <si>
    <t>Mindblow</t>
  </si>
  <si>
    <t>packersmandan@hotmail.com</t>
  </si>
  <si>
    <t>dirtyboy6907</t>
  </si>
  <si>
    <t>Misery</t>
  </si>
  <si>
    <t>roofing@consolidated.net</t>
  </si>
  <si>
    <t>shawne</t>
  </si>
  <si>
    <t>Morie</t>
  </si>
  <si>
    <t>kamie@comcast.net</t>
  </si>
  <si>
    <t>P3tsb1te</t>
  </si>
  <si>
    <t>Nailbomb</t>
  </si>
  <si>
    <t>mat@gcqld.com</t>
  </si>
  <si>
    <t>12coo35f</t>
  </si>
  <si>
    <t>Vienna 16</t>
  </si>
  <si>
    <t>Nicola</t>
  </si>
  <si>
    <t>unknown</t>
  </si>
  <si>
    <t>bnicol@mountaincable.net</t>
  </si>
  <si>
    <t>hungrysam</t>
  </si>
  <si>
    <t>1 day ago</t>
  </si>
  <si>
    <t>Barry Feeder</t>
  </si>
  <si>
    <t>OldWhiskey</t>
  </si>
  <si>
    <t>Driver</t>
  </si>
  <si>
    <t>hurlothrumbo@iprimus.com.au</t>
  </si>
  <si>
    <t>One2$even9</t>
  </si>
  <si>
    <t>PallasAthena</t>
  </si>
  <si>
    <t>krystalice13@yahoo.com</t>
  </si>
  <si>
    <t>Active</t>
  </si>
  <si>
    <t>Simao Feeder</t>
  </si>
  <si>
    <t>Plague</t>
  </si>
  <si>
    <t>macoverall1@yahoo.com</t>
  </si>
  <si>
    <t>8585hes</t>
  </si>
  <si>
    <t>Raiderdude</t>
  </si>
  <si>
    <t>raiderdude@msn.com</t>
  </si>
  <si>
    <t>Redkicker</t>
  </si>
  <si>
    <t>zigzag@1904.dk</t>
  </si>
  <si>
    <t>Bobbel1.</t>
  </si>
  <si>
    <t>Robologan</t>
  </si>
  <si>
    <t>ryaneiler@rocketmail.com</t>
  </si>
  <si>
    <t>defense67</t>
  </si>
  <si>
    <t>Rochut</t>
  </si>
  <si>
    <t>rochut@rocketmail.com</t>
  </si>
  <si>
    <t>P7429634</t>
  </si>
  <si>
    <t>RockKandee</t>
  </si>
  <si>
    <t>rnrkhans@gmail.com</t>
  </si>
  <si>
    <t>SamsonKhan</t>
  </si>
  <si>
    <t>Molotov</t>
  </si>
  <si>
    <t>ronniebarry@hotmail.com</t>
  </si>
  <si>
    <t>vader2009</t>
  </si>
  <si>
    <t>setuid</t>
  </si>
  <si>
    <t>thedonkeysheep@yahoo.com</t>
  </si>
  <si>
    <t>istillcare</t>
  </si>
  <si>
    <t>alliknow2002@yahoo.ca</t>
  </si>
  <si>
    <t>EmM@2004</t>
  </si>
  <si>
    <t>HOST/Atlantis</t>
  </si>
  <si>
    <t>TheMessenger</t>
  </si>
  <si>
    <t>jenn1131@gmail.com</t>
  </si>
  <si>
    <t>hNa3Hw8d#k#!GSZFy2%f</t>
  </si>
  <si>
    <t>Sigma</t>
  </si>
  <si>
    <t>Simao</t>
  </si>
  <si>
    <t>maltese_minx@yahoo.com</t>
  </si>
  <si>
    <t>sgathach9</t>
  </si>
  <si>
    <t>Paris 16</t>
  </si>
  <si>
    <t>Simikiel</t>
  </si>
  <si>
    <t>ScrewBall</t>
  </si>
  <si>
    <t>Dalefreeburg@yahoo.com</t>
  </si>
  <si>
    <t>goddammit - SirDale</t>
  </si>
  <si>
    <t>Sintax</t>
  </si>
  <si>
    <t>sidnypearl@yahoo.com</t>
  </si>
  <si>
    <t>Nail feeder</t>
  </si>
  <si>
    <t>Synergy</t>
  </si>
  <si>
    <t>mjpatague@hotmail.com</t>
  </si>
  <si>
    <t>ponderosa675</t>
  </si>
  <si>
    <t>Barry feder?</t>
  </si>
  <si>
    <t>TheKillingJoke</t>
  </si>
  <si>
    <t>andrew@flirtomatic.com</t>
  </si>
  <si>
    <t>valhalla9</t>
  </si>
  <si>
    <t>TheOne</t>
  </si>
  <si>
    <t>Lanthang98@yahoo.com</t>
  </si>
  <si>
    <t>DNGUE08</t>
  </si>
  <si>
    <t>Tikapedia</t>
  </si>
  <si>
    <t>mcmhel@yahoo.com</t>
  </si>
  <si>
    <t>123p@ssw0rd45</t>
  </si>
  <si>
    <t>Tornado</t>
  </si>
  <si>
    <t>Torn</t>
  </si>
  <si>
    <t>simon@small-voices.net</t>
  </si>
  <si>
    <t>man4T33</t>
  </si>
  <si>
    <t>Athens 16</t>
  </si>
  <si>
    <t>Semi</t>
  </si>
  <si>
    <t>Wonga</t>
  </si>
  <si>
    <t>myung@live.com.au</t>
  </si>
  <si>
    <t>stevensm</t>
  </si>
  <si>
    <t>Inactive</t>
  </si>
  <si>
    <t>Lord name</t>
  </si>
  <si>
    <t>Email</t>
  </si>
  <si>
    <t>Password</t>
  </si>
  <si>
    <t>Status</t>
  </si>
  <si>
    <t>Assets</t>
  </si>
  <si>
    <t>Other Info</t>
  </si>
  <si>
    <t>BadHugo</t>
  </si>
  <si>
    <t>hugo.evans56@btinternet.com</t>
  </si>
  <si>
    <t>Fugo11333</t>
  </si>
  <si>
    <t>Feeder</t>
  </si>
  <si>
    <t>Key 12</t>
  </si>
  <si>
    <t>12 holder</t>
  </si>
  <si>
    <t>cat</t>
  </si>
  <si>
    <t>War Alt</t>
  </si>
  <si>
    <t>key 12</t>
  </si>
  <si>
    <t>BLOODTOOTH</t>
  </si>
  <si>
    <t>ole.nielsen@eskilstuna.se</t>
  </si>
  <si>
    <t>oenoen2349</t>
  </si>
  <si>
    <t>semi active?</t>
  </si>
  <si>
    <t>HH</t>
  </si>
  <si>
    <t>NOT WORKING</t>
  </si>
  <si>
    <t>mailto:domexdan@yahoo.com</t>
  </si>
  <si>
    <t>DL</t>
  </si>
  <si>
    <t>Mbalt</t>
  </si>
  <si>
    <t>Iron</t>
  </si>
  <si>
    <t>14?</t>
  </si>
  <si>
    <t>alt</t>
  </si>
  <si>
    <t>Madb alt</t>
  </si>
  <si>
    <t>Great Chat</t>
  </si>
  <si>
    <t>Madb</t>
  </si>
  <si>
    <t>McRandall</t>
  </si>
  <si>
    <t>McRandall.Phalanx@hotmail.com</t>
  </si>
  <si>
    <t>Dlugoss@7802</t>
  </si>
  <si>
    <t xml:space="preserve">Feeder </t>
  </si>
  <si>
    <t>PrazMe</t>
  </si>
  <si>
    <t>lowtow2@msn.com</t>
  </si>
  <si>
    <t>bahamas2013</t>
  </si>
  <si>
    <t xml:space="preserve">Main, small. </t>
  </si>
  <si>
    <t>Bobbell1</t>
  </si>
  <si>
    <t>Alt</t>
  </si>
  <si>
    <t xml:space="preserve">ryaneiler@rocketmail.com </t>
  </si>
  <si>
    <t>0,0 + 100,100</t>
  </si>
  <si>
    <t>0,0 16</t>
  </si>
  <si>
    <t>Feeder (NB, BH, MB)</t>
  </si>
  <si>
    <t>Mookface alt</t>
  </si>
  <si>
    <t>Troll</t>
  </si>
  <si>
    <t>Kicked</t>
  </si>
  <si>
    <t>T0xXx1C</t>
  </si>
  <si>
    <t>LadyChains</t>
  </si>
  <si>
    <t xml:space="preserve">simon.tamez@hotmail.com </t>
  </si>
  <si>
    <t>tamez1291</t>
  </si>
  <si>
    <t>HC owned</t>
  </si>
  <si>
    <t>LORD NAME</t>
  </si>
  <si>
    <t>Star Set</t>
  </si>
  <si>
    <t>EmperorSteve</t>
  </si>
  <si>
    <t>peterbrannan@hotmail.com</t>
  </si>
  <si>
    <t>theBUSHsmells123</t>
  </si>
  <si>
    <t>TGF</t>
  </si>
  <si>
    <t>Hynoptis</t>
  </si>
  <si>
    <t>Ioriasj03@gmail.com</t>
  </si>
  <si>
    <t>lion2016</t>
  </si>
  <si>
    <t>0519</t>
  </si>
  <si>
    <t>500,100  500,300</t>
  </si>
  <si>
    <t>ThePunisher</t>
  </si>
  <si>
    <t>nathan.biggs23@yahoo.com</t>
  </si>
  <si>
    <t>driver</t>
  </si>
  <si>
    <t>moore.tn2@gmail.com</t>
  </si>
  <si>
    <t>grainne12</t>
  </si>
  <si>
    <t>patricia1</t>
  </si>
  <si>
    <t>Fullminita</t>
  </si>
  <si>
    <t>bambie.khans@comcast.net</t>
  </si>
  <si>
    <t>Key 12's:</t>
  </si>
  <si>
    <t>Robojack</t>
  </si>
  <si>
    <t>apmjunior@aol.com</t>
  </si>
  <si>
    <t>AJcrazytons765</t>
  </si>
  <si>
    <t>TheTraveller</t>
  </si>
  <si>
    <t>Evony.niko@aol.com</t>
  </si>
  <si>
    <t>RoaringThunder</t>
  </si>
  <si>
    <t>stormbror@gmail.com</t>
  </si>
  <si>
    <t>blackdog9</t>
  </si>
  <si>
    <t>THEPRIDE</t>
  </si>
  <si>
    <t>KingSteeve</t>
  </si>
  <si>
    <t xml:space="preserve">asermolaev@hotmail.com </t>
  </si>
  <si>
    <t>8^Losangele</t>
  </si>
  <si>
    <t>0,0</t>
  </si>
  <si>
    <t>Cateran</t>
  </si>
  <si>
    <t>ksronnie88@gmail.com</t>
  </si>
  <si>
    <t>DO NOT OWN</t>
  </si>
  <si>
    <t>Name</t>
  </si>
  <si>
    <t>https://docs.google.com/spreadsheets/d/1aZTdTAPCQvY9I1Xdxb7WLwyCoLjTnA_ZS3LKKKQF5_0/edit#gid=1</t>
  </si>
  <si>
    <t>AJ</t>
  </si>
  <si>
    <t>key 12+hh</t>
  </si>
  <si>
    <t xml:space="preserve">ROBOJACK </t>
  </si>
  <si>
    <t>Anton  (7x7)</t>
  </si>
  <si>
    <t>tri</t>
  </si>
  <si>
    <t>12antonius1972@gmail.com</t>
  </si>
  <si>
    <t>$BGrB7u76</t>
  </si>
  <si>
    <t>Antongb</t>
  </si>
  <si>
    <t>antonspreckley@yahoo.co.uk</t>
  </si>
  <si>
    <t>buckden810446</t>
  </si>
  <si>
    <t>atherion</t>
  </si>
  <si>
    <t>feyenoorder_1983@hotmail.com</t>
  </si>
  <si>
    <t>furby83</t>
  </si>
  <si>
    <t>DamnedByDesign</t>
  </si>
  <si>
    <t>mhpirooz@gmail.com</t>
  </si>
  <si>
    <t>poopster</t>
  </si>
  <si>
    <t>hh</t>
  </si>
  <si>
    <t>BBBTX</t>
  </si>
  <si>
    <t>Og</t>
  </si>
  <si>
    <t>bbb_ark1962@yahoo.com</t>
  </si>
  <si>
    <t>BeatenbytheBalls42</t>
  </si>
  <si>
    <t>16+hh</t>
  </si>
  <si>
    <t>bcjt</t>
  </si>
  <si>
    <t>jtwc1@hotmail.com</t>
  </si>
  <si>
    <t>beer2002</t>
  </si>
  <si>
    <t>BFBella/DeusApollo</t>
  </si>
  <si>
    <t>lon</t>
  </si>
  <si>
    <t>klanders@citcom.net</t>
  </si>
  <si>
    <t>z991773Crusaderz2!</t>
  </si>
  <si>
    <t>30 days</t>
  </si>
  <si>
    <t>Bluehorse</t>
  </si>
  <si>
    <t>buckskinhorse@hotmail.com</t>
  </si>
  <si>
    <t>pocojet1</t>
  </si>
  <si>
    <t>&lt; SC</t>
  </si>
  <si>
    <t>14+hh</t>
  </si>
  <si>
    <t>Celvar</t>
  </si>
  <si>
    <t>spambill@rocketmail.com</t>
  </si>
  <si>
    <t>COCOPUFFS</t>
  </si>
  <si>
    <t>Clockface</t>
  </si>
  <si>
    <t>slacker76@hotmail.com</t>
  </si>
  <si>
    <t>monkey</t>
  </si>
  <si>
    <t>(2 14's/1 12)</t>
  </si>
  <si>
    <t>14+12+hh</t>
  </si>
  <si>
    <t>Crazy juice</t>
  </si>
  <si>
    <t>crazyrb</t>
  </si>
  <si>
    <t>jonjon012184@gmail.com</t>
  </si>
  <si>
    <t>bs32189</t>
  </si>
  <si>
    <t>Crazydoug</t>
  </si>
  <si>
    <t>doug46972002@hotmail.com</t>
  </si>
  <si>
    <t>Zinger189</t>
  </si>
  <si>
    <t>crazyjr</t>
  </si>
  <si>
    <t xml:space="preserve">bigger.2008@hotmail.com </t>
  </si>
  <si>
    <t>69arvida1967</t>
  </si>
  <si>
    <t>CrazyKiwi</t>
  </si>
  <si>
    <t>janette-scott@hotmail.com</t>
  </si>
  <si>
    <t>system1019876</t>
  </si>
  <si>
    <t>CrazyMax02</t>
  </si>
  <si>
    <t>Crazyjr</t>
  </si>
  <si>
    <t>chupu.69@hotmail.ca</t>
  </si>
  <si>
    <t>jr has hh,dunno on which account</t>
  </si>
  <si>
    <t>crazysia</t>
  </si>
  <si>
    <t>katastrophe.2012@hotmail.com</t>
  </si>
  <si>
    <t>diefvckr</t>
  </si>
  <si>
    <t>cgilbrich@hotmail.com</t>
  </si>
  <si>
    <t>matthew2011</t>
  </si>
  <si>
    <t>Excellence</t>
  </si>
  <si>
    <t>franky_franky1551@yahoo.com</t>
  </si>
  <si>
    <t>frichy1551</t>
  </si>
  <si>
    <t>Grim13</t>
  </si>
  <si>
    <t>jf1234321@aol.com</t>
  </si>
  <si>
    <t>l5rkisada</t>
  </si>
  <si>
    <t>GuNsNrOsEs</t>
  </si>
  <si>
    <t>bigger.2007@outlook.com</t>
  </si>
  <si>
    <t>HarleQuinZ</t>
  </si>
  <si>
    <t>callingcrowes@hotmail.com</t>
  </si>
  <si>
    <t>VVkitten7</t>
  </si>
  <si>
    <t>Kariana</t>
  </si>
  <si>
    <t>thedaneinoz@hotmail.com</t>
  </si>
  <si>
    <t>1nMem0ry0fMyS0x1</t>
  </si>
  <si>
    <t>KingStevee</t>
  </si>
  <si>
    <t>Steve</t>
  </si>
  <si>
    <t>lordraul</t>
  </si>
  <si>
    <t>danlavoie1@hotmail.com</t>
  </si>
  <si>
    <t>blamecanada1066</t>
  </si>
  <si>
    <t>lurking</t>
  </si>
  <si>
    <t>live2love3laugh@hotmail.com</t>
  </si>
  <si>
    <t>abby83</t>
  </si>
  <si>
    <t>Marty</t>
  </si>
  <si>
    <t>Martingerard07@aol.com</t>
  </si>
  <si>
    <t>Ogliss</t>
  </si>
  <si>
    <t>randomdragon2@hotmail.com</t>
  </si>
  <si>
    <t>GetsuaTenshou</t>
  </si>
  <si>
    <t>Perkunas</t>
  </si>
  <si>
    <t>andycadd@comcast.net</t>
  </si>
  <si>
    <t>724722801a</t>
  </si>
  <si>
    <t>RicksDad</t>
  </si>
  <si>
    <t>ricksdad2001@yahoo.com</t>
  </si>
  <si>
    <t>francisca34606</t>
  </si>
  <si>
    <t>SATCH/Kugs</t>
  </si>
  <si>
    <t>kugslite@yahoo.com</t>
  </si>
  <si>
    <t>argo999</t>
  </si>
  <si>
    <t>Screwball</t>
  </si>
  <si>
    <t>bigscrewy@gmail.com</t>
  </si>
  <si>
    <t>poker123</t>
  </si>
  <si>
    <t>Slater</t>
  </si>
  <si>
    <t>travelinm004@yahoo.com</t>
  </si>
  <si>
    <t>panthers</t>
  </si>
  <si>
    <t>34 days</t>
  </si>
  <si>
    <t>SweetPain</t>
  </si>
  <si>
    <t>orrsimon78@yahoo.com</t>
  </si>
  <si>
    <t>orrville</t>
  </si>
  <si>
    <t>TriGunSK</t>
  </si>
  <si>
    <t>bobsfakeid2@yahoo.com</t>
  </si>
  <si>
    <t>16+14+hh</t>
  </si>
  <si>
    <t>trish</t>
  </si>
  <si>
    <t>mantonucci@yahoo.com</t>
  </si>
  <si>
    <t>16514phh</t>
  </si>
  <si>
    <t>Trond</t>
  </si>
  <si>
    <t>trondski88@hotmail.com</t>
  </si>
  <si>
    <t>geuadtyo</t>
  </si>
  <si>
    <t>VicVeritas</t>
  </si>
  <si>
    <t>VicVeritas@hotmail.com</t>
  </si>
  <si>
    <t>VictumVentus2013</t>
  </si>
  <si>
    <t>YeroC</t>
  </si>
  <si>
    <t>coreymoyers@yahoo.com</t>
  </si>
  <si>
    <t>Pavlovdrools1021</t>
  </si>
  <si>
    <t>75 days</t>
  </si>
  <si>
    <t>Zaraki</t>
  </si>
  <si>
    <t>nigel.abrown@blueyonder.co.uk</t>
  </si>
  <si>
    <t>googlymooglypuddingandpie6</t>
  </si>
  <si>
    <t>ZATCH</t>
  </si>
  <si>
    <t>draco810@msn.com</t>
  </si>
  <si>
    <t>sheldon111</t>
  </si>
  <si>
    <t>satch fb</t>
  </si>
  <si>
    <t>satch.coffin@mail.com</t>
  </si>
  <si>
    <t>Londres</t>
  </si>
  <si>
    <t>Lon</t>
  </si>
  <si>
    <t>simoes134@hotmail.com</t>
  </si>
  <si>
    <t>Maxine02</t>
  </si>
  <si>
    <t>JR</t>
  </si>
  <si>
    <t>confused_gemini_goddess@yahoo.com</t>
  </si>
  <si>
    <t>cedric26051990</t>
  </si>
  <si>
    <t>Cedric90</t>
  </si>
  <si>
    <t>jr</t>
  </si>
  <si>
    <t>bigger.2009@outlook.com</t>
  </si>
  <si>
    <t>Origional Owner</t>
  </si>
  <si>
    <t>LordName</t>
  </si>
  <si>
    <t>Amandacool</t>
  </si>
  <si>
    <t>ptjes1987@outlook.com</t>
  </si>
  <si>
    <t>Am@nda44+</t>
  </si>
  <si>
    <t>2RH</t>
  </si>
  <si>
    <t>29/12/2017</t>
  </si>
  <si>
    <t>Anton</t>
  </si>
  <si>
    <t>RH</t>
  </si>
  <si>
    <t>7X7 spy, run by Tri</t>
  </si>
  <si>
    <t xml:space="preserve">atlastitan </t>
  </si>
  <si>
    <t>jcardoza50_@hotmail.com</t>
  </si>
  <si>
    <t>fuckyou</t>
  </si>
  <si>
    <t>RH + 5Rings chests</t>
  </si>
  <si>
    <t xml:space="preserve">11HH </t>
  </si>
  <si>
    <t>Bandit4sur</t>
  </si>
  <si>
    <t>jbtjes2015@yahoo.com</t>
  </si>
  <si>
    <t>sp@nky71</t>
  </si>
  <si>
    <t>3RH</t>
  </si>
  <si>
    <t>feed</t>
  </si>
  <si>
    <t>Key 12 (Laney)</t>
  </si>
  <si>
    <t>Berzerk</t>
  </si>
  <si>
    <t>andre2age2@hotmail.co.uk</t>
  </si>
  <si>
    <t>7szn}4W]</t>
  </si>
  <si>
    <t>2RH + Ring chests</t>
  </si>
  <si>
    <t>blondANNA</t>
  </si>
  <si>
    <t>annadepe1@gmail.com</t>
  </si>
  <si>
    <t>Havana01</t>
  </si>
  <si>
    <t xml:space="preserve">RH </t>
  </si>
  <si>
    <t>25/06/2018</t>
  </si>
  <si>
    <t>Blue Eyes White Pepe</t>
  </si>
  <si>
    <t>dominickmyers905@yahoo.com</t>
  </si>
  <si>
    <t>15 maybe. 02/01/2018</t>
  </si>
  <si>
    <t>Camtoe</t>
  </si>
  <si>
    <t>Glich 500mil ball</t>
  </si>
  <si>
    <t>CapHook</t>
  </si>
  <si>
    <t>jonryanr@gmail.com</t>
  </si>
  <si>
    <t>41 Fleet chests</t>
  </si>
  <si>
    <t>Cathaldus</t>
  </si>
  <si>
    <t>skullhacker@yahoo.com</t>
  </si>
  <si>
    <t>cxenmypew1</t>
  </si>
  <si>
    <t>RH, 2GCs</t>
  </si>
  <si>
    <t>Gear not done. 27/11/17</t>
  </si>
  <si>
    <t>needs food</t>
  </si>
  <si>
    <t xml:space="preserve">coachteet </t>
  </si>
  <si>
    <t>1RH + 7Rings chests</t>
  </si>
  <si>
    <t>donthurtme</t>
  </si>
  <si>
    <t>christopher.turner18@yahoo.com</t>
  </si>
  <si>
    <t>megatron99</t>
  </si>
  <si>
    <t>Enforcer2</t>
  </si>
  <si>
    <t>armyofgodz@yahoo.com</t>
  </si>
  <si>
    <t>21/09/2017</t>
  </si>
  <si>
    <t>EvenSword</t>
  </si>
  <si>
    <t xml:space="preserve">evensword11333@gmail.com </t>
  </si>
  <si>
    <t>WARH Spy</t>
  </si>
  <si>
    <t>Gravedigga</t>
  </si>
  <si>
    <t>andre3age2@hotmail.co.uk</t>
  </si>
  <si>
    <t>RH chests</t>
  </si>
  <si>
    <t>5 15's easy 14</t>
  </si>
  <si>
    <t>Hanny</t>
  </si>
  <si>
    <t>hanny2@ziggo.nl</t>
  </si>
  <si>
    <t>jansen2h</t>
  </si>
  <si>
    <t>2RHs  40E&amp;Es A+D</t>
  </si>
  <si>
    <t>16/09/2018</t>
  </si>
  <si>
    <t>HGateMia</t>
  </si>
  <si>
    <t xml:space="preserve">137 Fleet </t>
  </si>
  <si>
    <t>Hood</t>
  </si>
  <si>
    <t>redjr46@yahoo.com</t>
  </si>
  <si>
    <t>41 Fleet</t>
  </si>
  <si>
    <t>Needs food</t>
  </si>
  <si>
    <t>Inquisitor</t>
  </si>
  <si>
    <t>dominickmyers904@yahoo.com</t>
  </si>
  <si>
    <t>100m arch HH</t>
  </si>
  <si>
    <t>Kushiel Angel of Punishment</t>
  </si>
  <si>
    <t>barryronnie1965@hotmail.com</t>
  </si>
  <si>
    <t>nathan2002</t>
  </si>
  <si>
    <t>Untrain</t>
  </si>
  <si>
    <t>Leauge</t>
  </si>
  <si>
    <t>Andre4age2@hotmail.co.uk</t>
  </si>
  <si>
    <t>0will2Live</t>
  </si>
  <si>
    <t>Aussi007@hotmail.com</t>
  </si>
  <si>
    <t>2$even7thr33</t>
  </si>
  <si>
    <t>4HH</t>
  </si>
  <si>
    <t>Magicturd</t>
  </si>
  <si>
    <t>holystgeorges@hotmail.com</t>
  </si>
  <si>
    <t>62 Fleet 90E&amp;E</t>
  </si>
  <si>
    <t xml:space="preserve">kamie@comcast.net </t>
  </si>
  <si>
    <t>RH + Ring chests</t>
  </si>
  <si>
    <t>1 mile on odin 16</t>
  </si>
  <si>
    <t>MudSlinger</t>
  </si>
  <si>
    <t>Mudslinger</t>
  </si>
  <si>
    <t>dakota_taz@yahoo.com</t>
  </si>
  <si>
    <t>meethoseolis</t>
  </si>
  <si>
    <t>Key 12 (Nail)</t>
  </si>
  <si>
    <t>14 HH</t>
  </si>
  <si>
    <t xml:space="preserve">16 Vienna </t>
  </si>
  <si>
    <t>Naut</t>
  </si>
  <si>
    <t>huisman81@hotmail.com</t>
  </si>
  <si>
    <t>Evalyn09</t>
  </si>
  <si>
    <t>2RHs</t>
  </si>
  <si>
    <t>NBK</t>
  </si>
  <si>
    <t>Nikhillife11@gmail.com</t>
  </si>
  <si>
    <t>javelin123</t>
  </si>
  <si>
    <t>25/10/2017</t>
  </si>
  <si>
    <t>Nihalx</t>
  </si>
  <si>
    <t>garyjoint1@yahoo.com</t>
  </si>
  <si>
    <t>soup411</t>
  </si>
  <si>
    <t>1RH</t>
  </si>
  <si>
    <t>Key 12 (Sim)</t>
  </si>
  <si>
    <t>Peps1</t>
  </si>
  <si>
    <t xml:space="preserve">pepsi1988@outlook.com </t>
  </si>
  <si>
    <t>66@nT0n10</t>
  </si>
  <si>
    <t>RH 3GC</t>
  </si>
  <si>
    <t>21/07/2017</t>
  </si>
  <si>
    <t>Phreaker</t>
  </si>
  <si>
    <t>swisspoe69@yahoo.com</t>
  </si>
  <si>
    <t>PowerPuff</t>
  </si>
  <si>
    <t>dal163@bigpond.com.au</t>
  </si>
  <si>
    <t>RAIDERDUDE</t>
  </si>
  <si>
    <t>Ring chests</t>
  </si>
  <si>
    <t>Remiel Angel of Visions</t>
  </si>
  <si>
    <t>Madballcc2alt2@mail.com</t>
  </si>
  <si>
    <t>0ne2$even9</t>
  </si>
  <si>
    <t>Satharieal Angel of Deception</t>
  </si>
  <si>
    <t>Jamesthalacker49@yahoo.com</t>
  </si>
  <si>
    <t>S5XWK3Vjeh</t>
  </si>
  <si>
    <t>6kb 14kr.</t>
  </si>
  <si>
    <t>RH needed</t>
  </si>
  <si>
    <t>Secret</t>
  </si>
  <si>
    <t>dmyers536@yahoo.com</t>
  </si>
  <si>
    <t>Shateiel Angel of Silence</t>
  </si>
  <si>
    <t>Madballcc2alt3@mail.com</t>
  </si>
  <si>
    <t>Fustin</t>
  </si>
  <si>
    <t>StarBlue</t>
  </si>
  <si>
    <t>starblue@hotmail.co.uk</t>
  </si>
  <si>
    <t xml:space="preserve">4 at 15 14 proably </t>
  </si>
  <si>
    <t>Swiftness</t>
  </si>
  <si>
    <t>spam4love@hotmail.co.uk</t>
  </si>
  <si>
    <t>SliceNDice091</t>
  </si>
  <si>
    <t>RH 70E&amp;Es</t>
  </si>
  <si>
    <t>Tamiel Angel of the Unseen</t>
  </si>
  <si>
    <t>Madballcc2alt1@mail.com</t>
  </si>
  <si>
    <t>100 E&amp;Es RH</t>
  </si>
  <si>
    <t>TIKAPEDIA</t>
  </si>
  <si>
    <t>2RH 900bn food</t>
  </si>
  <si>
    <t>UnraveledK</t>
  </si>
  <si>
    <t>martyevony1@yahoo.co.uk</t>
  </si>
  <si>
    <t>2GA, 4GC</t>
  </si>
  <si>
    <t>14 maybe</t>
  </si>
  <si>
    <t>UOme</t>
  </si>
  <si>
    <t>jptje1989@gmail.com</t>
  </si>
  <si>
    <t>Jp%10gYz9</t>
  </si>
  <si>
    <t>Veghusano</t>
  </si>
  <si>
    <t>veghusano@gmail.com</t>
  </si>
  <si>
    <t>WarlordSay</t>
  </si>
  <si>
    <t>dominickandrewmyers123@gmail.com</t>
  </si>
  <si>
    <t>HellBender</t>
  </si>
  <si>
    <t>10RH 140bn food</t>
  </si>
  <si>
    <t>Yolandacool</t>
  </si>
  <si>
    <t xml:space="preserve">kanda1988@outlook.com </t>
  </si>
  <si>
    <t>C@nda22!</t>
  </si>
  <si>
    <t>suized</t>
  </si>
  <si>
    <t>ZigMa</t>
  </si>
  <si>
    <t>josephungmm@clearwire.net</t>
  </si>
  <si>
    <t>kershaw2011</t>
  </si>
  <si>
    <t>69 spy</t>
  </si>
  <si>
    <t>Zireael (Swift?)</t>
  </si>
  <si>
    <t>Andre2009@hotmail.co.uk</t>
  </si>
  <si>
    <t>10RH</t>
  </si>
  <si>
    <t>Zucriy</t>
  </si>
  <si>
    <t>unraveledking@yahoo.com</t>
  </si>
  <si>
    <t>2 Rings</t>
  </si>
  <si>
    <t>5 off 15</t>
  </si>
  <si>
    <t>deleted</t>
  </si>
  <si>
    <t>Zyklton</t>
  </si>
  <si>
    <t>cornflakeshonors2013@gmail.com</t>
  </si>
  <si>
    <t>gear not done</t>
  </si>
  <si>
    <t>Needs work.</t>
  </si>
  <si>
    <t>colonize 68,520</t>
  </si>
  <si>
    <t xml:space="preserve">tprrph@hotmail.com     </t>
  </si>
  <si>
    <t xml:space="preserve">tenabutter@gmail.com  </t>
  </si>
  <si>
    <t xml:space="preserve">brigadeog </t>
  </si>
  <si>
    <t xml:space="preserve">kenzoevony@gmail.com  </t>
  </si>
  <si>
    <t xml:space="preserve">macoverall1@yahoo.com     </t>
  </si>
  <si>
    <t>Evana</t>
  </si>
  <si>
    <t>jacquiehassiaoui@hotmail.co.uk</t>
  </si>
  <si>
    <t>Liberty4Everyone</t>
  </si>
  <si>
    <t>tabbikat</t>
  </si>
  <si>
    <t>zurt@mail.com</t>
  </si>
  <si>
    <t>BandedSnow</t>
  </si>
  <si>
    <t>baseball_junky3@yahoo.com</t>
  </si>
  <si>
    <t>cookie</t>
  </si>
  <si>
    <t>Merida main</t>
  </si>
  <si>
    <t>gyulez@gmail.com</t>
  </si>
  <si>
    <t>pepsi!82</t>
  </si>
  <si>
    <t>iron</t>
  </si>
  <si>
    <t>oneandonlybbq@bellsouth.net</t>
  </si>
  <si>
    <t>piggy123abc</t>
  </si>
  <si>
    <t>666best</t>
  </si>
  <si>
    <t>roboneill@btconnect.com</t>
  </si>
  <si>
    <t>Af Angel of Anger</t>
  </si>
  <si>
    <t>Tri</t>
  </si>
  <si>
    <t>Madballcc2alt5@mail.com</t>
  </si>
  <si>
    <t>Shit account</t>
  </si>
  <si>
    <t>Ananiel Angel of Storms</t>
  </si>
  <si>
    <t>Madballcc2alt6@mail.com</t>
  </si>
  <si>
    <t>Archerfire</t>
  </si>
  <si>
    <t>tornado</t>
  </si>
  <si>
    <t>mboyll@yahoo.com</t>
  </si>
  <si>
    <t>Armaros Angel of Undoing</t>
  </si>
  <si>
    <t>amanteevony@yahoo.com</t>
  </si>
  <si>
    <t>Asbeel Angel of Ruin</t>
  </si>
  <si>
    <t>evonyamante@yahoo.com</t>
  </si>
  <si>
    <t>Azrael Angel of Death</t>
  </si>
  <si>
    <t>Madballcc2alt4@mail.com</t>
  </si>
  <si>
    <t>badding</t>
  </si>
  <si>
    <t>dave.angel@yahoo.com</t>
  </si>
  <si>
    <t>50TR</t>
  </si>
  <si>
    <t>Bambie</t>
  </si>
  <si>
    <t>BB</t>
  </si>
  <si>
    <t>dollylolly13@hotmail.co.uk</t>
  </si>
  <si>
    <t>17 days</t>
  </si>
  <si>
    <t>beard</t>
  </si>
  <si>
    <t>paus@shantytown.st</t>
  </si>
  <si>
    <t>main11</t>
  </si>
  <si>
    <t>1 ring</t>
  </si>
  <si>
    <t>36TR</t>
  </si>
  <si>
    <t>TheStygianLion</t>
  </si>
  <si>
    <t>show_stopper@hotmail.co.uk</t>
  </si>
  <si>
    <t>mad</t>
  </si>
  <si>
    <t>CMurder</t>
  </si>
  <si>
    <t>craigcorn99@hotmail.com</t>
  </si>
  <si>
    <t>last login 06/03/2017</t>
  </si>
  <si>
    <t>138 ff 350styg</t>
  </si>
  <si>
    <t>Cobra</t>
  </si>
  <si>
    <t>rondo</t>
  </si>
  <si>
    <t>cobra-evony@hotmail.co.uk</t>
  </si>
  <si>
    <t>cobra72</t>
  </si>
  <si>
    <t>crayzBalls</t>
  </si>
  <si>
    <t>auto180@yahoo.com</t>
  </si>
  <si>
    <t>6RHs</t>
  </si>
  <si>
    <t>Unkown</t>
  </si>
  <si>
    <t>Wombat 091</t>
  </si>
  <si>
    <t>Dark Walker</t>
  </si>
  <si>
    <t>Thunderstar1@yahoo.com</t>
  </si>
  <si>
    <t>DarkDream</t>
  </si>
  <si>
    <t>dinevony@yahoo.co.uk</t>
  </si>
  <si>
    <t>TheVengefulLion</t>
  </si>
  <si>
    <t>1.8k cents</t>
  </si>
  <si>
    <t>Mad</t>
  </si>
  <si>
    <t>quiehassiaoui@hotmail.co.uk</t>
  </si>
  <si>
    <t>Farqwart</t>
  </si>
  <si>
    <t>paigeermel@yahoo.com</t>
  </si>
  <si>
    <t>notinschool</t>
  </si>
  <si>
    <t>flandore</t>
  </si>
  <si>
    <t>hauble@yahoo.com</t>
  </si>
  <si>
    <t>kevkim91</t>
  </si>
  <si>
    <t>last login 07/24/2017</t>
  </si>
  <si>
    <t>force</t>
  </si>
  <si>
    <t>mymechanics@aol.com</t>
  </si>
  <si>
    <t>Gadreel Angel of War</t>
  </si>
  <si>
    <t>blaineevony@yahoo.com</t>
  </si>
  <si>
    <t>Gevurah Emanation of Severity</t>
  </si>
  <si>
    <t>Madballcc2alt9@mail.com</t>
  </si>
  <si>
    <t>Hasmed Angel of Annihilation</t>
  </si>
  <si>
    <t xml:space="preserve">martyevony5@yahoo.com </t>
  </si>
  <si>
    <t>0ne2$even10</t>
  </si>
  <si>
    <t xml:space="preserve">nelsonsantiago@verizon.net  </t>
  </si>
  <si>
    <t>Icarium</t>
  </si>
  <si>
    <t>ali_digital@yahoo.com</t>
  </si>
  <si>
    <t>Kaziglubey</t>
  </si>
  <si>
    <t>chriskittleson@hotmail.com</t>
  </si>
  <si>
    <t>Krypto</t>
  </si>
  <si>
    <t xml:space="preserve">0732051539@mtnloaded.co.za </t>
  </si>
  <si>
    <t> rainman3232@gmail.com</t>
  </si>
  <si>
    <t>LittleFart</t>
  </si>
  <si>
    <t>haydenermel@yahoo.com</t>
  </si>
  <si>
    <t>rollercoaster</t>
  </si>
  <si>
    <t>Troops</t>
  </si>
  <si>
    <t>Lord ZIVA</t>
  </si>
  <si>
    <t xml:space="preserve">mikehmike@yahoo.com </t>
  </si>
  <si>
    <t>7sPtEzAkURV9g7Ab</t>
  </si>
  <si>
    <t xml:space="preserve">sec = </t>
  </si>
  <si>
    <t>Wnu4DJaCp3NdHeWw</t>
  </si>
  <si>
    <t>MadKillah</t>
  </si>
  <si>
    <t>ruud@van-wersch.nl</t>
  </si>
  <si>
    <t>horsemen</t>
  </si>
  <si>
    <t>thecakeisalie7</t>
  </si>
  <si>
    <t>last login 05/09/2017</t>
  </si>
  <si>
    <t>Netzah Emanation of Victory</t>
  </si>
  <si>
    <t>Madballcc2alt8@mail.com</t>
  </si>
  <si>
    <t>400bn food</t>
  </si>
  <si>
    <t>Niko</t>
  </si>
  <si>
    <t>aroman83@aol.com</t>
  </si>
  <si>
    <t>Balimoon1</t>
  </si>
  <si>
    <t>101TR</t>
  </si>
  <si>
    <t>Nympho</t>
  </si>
  <si>
    <t>schaef81@yahoo.com</t>
  </si>
  <si>
    <t xml:space="preserve">OldWhiskey </t>
  </si>
  <si>
    <t>54TR</t>
  </si>
  <si>
    <t>OliveOil</t>
  </si>
  <si>
    <t>Barbaric691@gmail.com</t>
  </si>
  <si>
    <t>edbuddy0709</t>
  </si>
  <si>
    <t>Protikahl</t>
  </si>
  <si>
    <t>ladychains</t>
  </si>
  <si>
    <t>Protikahlteknologies@live.com</t>
  </si>
  <si>
    <t>Raziel Angel of Mysteries</t>
  </si>
  <si>
    <t>el_yiyo4@yahoo.com</t>
  </si>
  <si>
    <t>Recon</t>
  </si>
  <si>
    <t>Hellbender</t>
  </si>
  <si>
    <t>neo36427@yahoo.com</t>
  </si>
  <si>
    <t>bowler20</t>
  </si>
  <si>
    <t>RedSpy</t>
  </si>
  <si>
    <t>tompapadopoulos@sympatico.ca</t>
  </si>
  <si>
    <t>turnip</t>
  </si>
  <si>
    <t>Samshiel Angel of the Eclipse</t>
  </si>
  <si>
    <t>evonyblaine@yahoo.com</t>
  </si>
  <si>
    <t>alangsilbi</t>
  </si>
  <si>
    <t>Samyaza Angel of Pride</t>
  </si>
  <si>
    <t>Madballcc2alt7@mail.com</t>
  </si>
  <si>
    <t>Scyanide</t>
  </si>
  <si>
    <t>Adelena.cox@gmail.com</t>
  </si>
  <si>
    <t xml:space="preserve">thedonkeysheep@yahoo.com </t>
  </si>
  <si>
    <t>moocat</t>
  </si>
  <si>
    <t>4Rhs</t>
  </si>
  <si>
    <t>12 set. needs to farm</t>
  </si>
  <si>
    <t>Simikiel Angel of Vengeance</t>
  </si>
  <si>
    <t xml:space="preserve">dalefreeburg@yahoo.com </t>
  </si>
  <si>
    <t>Smelly</t>
  </si>
  <si>
    <t xml:space="preserve">martyevony4@yahoo.com </t>
  </si>
  <si>
    <t>Tehol</t>
  </si>
  <si>
    <t>shawn.ermel@yahoo.ca</t>
  </si>
  <si>
    <t>The Stifling silence</t>
  </si>
  <si>
    <t>mitdaz@aol.com</t>
  </si>
  <si>
    <t>TheBastard</t>
  </si>
  <si>
    <t xml:space="preserve">racman1022@yahoo.com </t>
  </si>
  <si>
    <t>rac1022</t>
  </si>
  <si>
    <t>Uriel Angel of Flame</t>
  </si>
  <si>
    <t>Madballcc2alt10@mail.com</t>
  </si>
  <si>
    <t>Viper</t>
  </si>
  <si>
    <t>goose22evony@gmail.com</t>
  </si>
  <si>
    <t>Austin01</t>
  </si>
  <si>
    <t>Xploit</t>
  </si>
  <si>
    <t>klaus-biesel@hotmail.de</t>
  </si>
  <si>
    <t>kb0815</t>
  </si>
  <si>
    <t>30tr</t>
  </si>
  <si>
    <t>GND. 15kb 34kr</t>
  </si>
  <si>
    <t>50 ene</t>
  </si>
  <si>
    <t>GND. 10kb 24kr</t>
  </si>
  <si>
    <t>50 ene RH</t>
  </si>
  <si>
    <t>5 at 14. 14kb 34kr</t>
  </si>
  <si>
    <t>marty</t>
  </si>
  <si>
    <t>1000 maybe</t>
  </si>
  <si>
    <t>GND. 10kd 23kr</t>
  </si>
  <si>
    <t xml:space="preserve">dave.angel@yahoo.com </t>
  </si>
  <si>
    <t>140bn food</t>
  </si>
  <si>
    <t>keep</t>
  </si>
  <si>
    <t>5RH + 8Rings</t>
  </si>
  <si>
    <t>20mil layers. 2.5mil trans</t>
  </si>
  <si>
    <t>Elfdirnallyn The Bright King</t>
  </si>
  <si>
    <t>Aragog1279@gmail.com</t>
  </si>
  <si>
    <t>8kb 26kr. GND</t>
  </si>
  <si>
    <t>RH 2GC</t>
  </si>
  <si>
    <t>1000 easy</t>
  </si>
  <si>
    <t>GND. 6kb 14kr</t>
  </si>
  <si>
    <t>120m arch HH</t>
  </si>
  <si>
    <t>1000 attack</t>
  </si>
  <si>
    <t>League</t>
  </si>
  <si>
    <t>4HH + 6 RH</t>
  </si>
  <si>
    <t>10RH 500bn food</t>
  </si>
  <si>
    <t>60mil layers. 20mil arch</t>
  </si>
  <si>
    <t>16 Vienna</t>
  </si>
  <si>
    <t>GND. 9kb 21kr</t>
  </si>
  <si>
    <t>Lions 12</t>
  </si>
  <si>
    <t xml:space="preserve">hurlothrumbo@iprimus.com.au </t>
  </si>
  <si>
    <t>pureheart</t>
  </si>
  <si>
    <t>pureheart10@hotmail.com</t>
  </si>
  <si>
    <t>3.6 on Kevs 14</t>
  </si>
  <si>
    <t>non botted filler alt</t>
  </si>
  <si>
    <t>MB feeder. Driver</t>
  </si>
  <si>
    <t>2 at 15, 3 at 14. 10kb 23kr</t>
  </si>
  <si>
    <t>2.2 on Climax 16</t>
  </si>
  <si>
    <t>300k pult</t>
  </si>
  <si>
    <t>12kb 28kr. 2 at 15, 2 at 14.</t>
  </si>
  <si>
    <t>GND. 7kb 17kr</t>
  </si>
  <si>
    <t>hellbender</t>
  </si>
  <si>
    <t>NB, MB, BH feeder</t>
  </si>
  <si>
    <t>1 at 15. 6kb 16kr</t>
  </si>
  <si>
    <t>Keep</t>
  </si>
  <si>
    <t>5 at 15. 4kb 10kr</t>
  </si>
  <si>
    <t>RH 50ene</t>
  </si>
  <si>
    <t>2 + 2.4mile on 0,0. GND 8kr 18kr</t>
  </si>
  <si>
    <t xml:space="preserve">Troops </t>
  </si>
  <si>
    <t>1.5b arch 12 HH</t>
  </si>
  <si>
    <t>martyv2</t>
  </si>
  <si>
    <t>Rams 1RH + 1 ring</t>
  </si>
  <si>
    <t>Cavs 1RH</t>
  </si>
  <si>
    <t>42TR</t>
  </si>
  <si>
    <t>51TR Driver</t>
  </si>
  <si>
    <t>Carol</t>
  </si>
  <si>
    <t>LilFck</t>
  </si>
  <si>
    <t xml:space="preserve">carolevony@yahoo.com </t>
  </si>
  <si>
    <t>hilover</t>
  </si>
  <si>
    <t>2 RH</t>
  </si>
  <si>
    <t>ULT4MATE acc 14TR</t>
  </si>
  <si>
    <t>22TR</t>
  </si>
  <si>
    <t>8TR</t>
  </si>
  <si>
    <t>19TR</t>
  </si>
  <si>
    <t xml:space="preserve"> RH</t>
  </si>
  <si>
    <t>2 off 15 set 35TR</t>
  </si>
  <si>
    <t>23TR</t>
  </si>
  <si>
    <t>3 off 15 set</t>
  </si>
  <si>
    <t>46TR 33ene</t>
  </si>
  <si>
    <t>2 mile and 2.4mile on 0,0</t>
  </si>
  <si>
    <t>50TR tri</t>
  </si>
  <si>
    <t>gt35turbo</t>
  </si>
  <si>
    <t>Cat,troops</t>
  </si>
  <si>
    <t>37TR</t>
  </si>
  <si>
    <t>swift</t>
  </si>
  <si>
    <t>13RH</t>
  </si>
  <si>
    <t>Caitsith</t>
  </si>
  <si>
    <t>Carol/Madball</t>
  </si>
  <si>
    <t>doggystyle</t>
  </si>
  <si>
    <t>car1029ol@excite.com</t>
  </si>
  <si>
    <t>babykachuba</t>
  </si>
  <si>
    <t>lilguts</t>
  </si>
  <si>
    <t xml:space="preserve">car1029ol@yahoo.com </t>
  </si>
  <si>
    <t>33TR</t>
  </si>
  <si>
    <t>5RH + 8Rings 64TR</t>
  </si>
  <si>
    <t>12 on Vienna</t>
  </si>
  <si>
    <t>Presbyter S3nt</t>
  </si>
  <si>
    <t>2HH key 12</t>
  </si>
  <si>
    <t>HGAteMia</t>
  </si>
  <si>
    <t xml:space="preserve">Lots troops 100TR </t>
  </si>
  <si>
    <t>minotavros78@yahoo.com pw ..... flik123</t>
  </si>
  <si>
    <t>New Owner</t>
  </si>
  <si>
    <t>arch</t>
  </si>
  <si>
    <t>ironclad</t>
  </si>
  <si>
    <t>Cavs 800 cents</t>
  </si>
  <si>
    <t>Feeder 3.5tn food 99m scouts</t>
  </si>
  <si>
    <t>Scout alt 2.8k cents</t>
  </si>
  <si>
    <t>MAIN Ram,pult,archer glitch hh's OWNS 9,9</t>
  </si>
  <si>
    <t>Bow2Master</t>
  </si>
  <si>
    <t>MAIN, 690m arch  hh's</t>
  </si>
  <si>
    <t>BuBBles</t>
  </si>
  <si>
    <t>arch alt 1.6k cents 78 fleet 2x Rings</t>
  </si>
  <si>
    <t>arch alt Presbyter S3nt</t>
  </si>
  <si>
    <t>Ballie alt 41 fleet</t>
  </si>
  <si>
    <t>43m scouts 11m arch</t>
  </si>
  <si>
    <t>Rams 4RH</t>
  </si>
  <si>
    <t>1tn food Presbyter S3nt</t>
  </si>
  <si>
    <t>Ballie alt 1.1k cents 119 Fleet</t>
  </si>
  <si>
    <t>1.1k cents</t>
  </si>
  <si>
    <t>Cav alt 41 fleet 1k cents</t>
  </si>
  <si>
    <t>41 fleet 1k cents</t>
  </si>
  <si>
    <t>arch 74 fleet</t>
  </si>
  <si>
    <t>arch alt 95 fleet  5RH</t>
  </si>
  <si>
    <t xml:space="preserve">arch alt Host of S3ntinel </t>
  </si>
  <si>
    <t>arch alt 62 fleet 1.5k cents</t>
  </si>
  <si>
    <t>nailbomb</t>
  </si>
  <si>
    <t>1.6b archers, 12 HH, 16 Vienna</t>
  </si>
  <si>
    <t>Cavs 4RH</t>
  </si>
  <si>
    <t>arch alt 95 fleet</t>
  </si>
  <si>
    <t>Arch</t>
  </si>
  <si>
    <t>molotov</t>
  </si>
  <si>
    <t xml:space="preserve">arch alt  </t>
  </si>
  <si>
    <t>Feeder Host 31337</t>
  </si>
  <si>
    <t>Rams</t>
  </si>
  <si>
    <t>Arch 3RH 600 cents</t>
  </si>
  <si>
    <t>Cavs</t>
  </si>
  <si>
    <t>Rams 1RH 750 cents</t>
  </si>
  <si>
    <t>CC2 Mudslinger</t>
  </si>
  <si>
    <t>NO CAPITAL A IN APRIL.</t>
  </si>
  <si>
    <t>No cap in April13</t>
  </si>
  <si>
    <t>Star Sets</t>
  </si>
  <si>
    <t>4HH 2RH</t>
  </si>
  <si>
    <t>Mudpit</t>
  </si>
  <si>
    <t>Realtree.evony@yahoo.com</t>
  </si>
  <si>
    <t>april13</t>
  </si>
  <si>
    <t>MudBog</t>
  </si>
  <si>
    <t>plymouthtrailduster@yahoo.com</t>
  </si>
  <si>
    <t>MudHole</t>
  </si>
  <si>
    <t>mopar_evony@yahoo.com</t>
  </si>
  <si>
    <t>30 Fleet</t>
  </si>
  <si>
    <t>da kruls</t>
  </si>
  <si>
    <t>dakurls.evony@yahoo.com</t>
  </si>
  <si>
    <t>horse</t>
  </si>
  <si>
    <t>dakota_taz@softhome.net</t>
  </si>
  <si>
    <t>81 fleet, 18 end, 16 amp, 40TR</t>
  </si>
  <si>
    <t>mommycool</t>
  </si>
  <si>
    <t>lestathorsesdogs@hotmail.com</t>
  </si>
  <si>
    <t>tweetybird</t>
  </si>
  <si>
    <t>dakota_taz@hotmail.com</t>
  </si>
  <si>
    <t>4x4</t>
  </si>
  <si>
    <t>mud.slinger@yahoo.com</t>
  </si>
  <si>
    <t>1 off 15... Not fed</t>
  </si>
  <si>
    <t>Colonize 765,476 Any c:1000 Colonize 767,477 Any c:1000</t>
  </si>
  <si>
    <t>domnatrix</t>
  </si>
  <si>
    <t>catlinn@yahoo.com</t>
  </si>
  <si>
    <t>52TR</t>
  </si>
  <si>
    <t>Catlinn</t>
  </si>
  <si>
    <t xml:space="preserve">catlinnstorm@gmail.com </t>
  </si>
  <si>
    <t>meethosnicholi</t>
  </si>
  <si>
    <t>43 fleet</t>
  </si>
  <si>
    <t>Lordjake1</t>
  </si>
  <si>
    <t xml:space="preserve">Jhoopes01@yahoo.com </t>
  </si>
  <si>
    <t>24TR 1.3k cents</t>
  </si>
  <si>
    <t>Maltese_minx@hotmail.com</t>
  </si>
  <si>
    <t>Nasargiel</t>
  </si>
  <si>
    <t>cateransdementia@gmail.com</t>
  </si>
  <si>
    <t>Toothless</t>
  </si>
  <si>
    <t>liontooth1988@gmail.com</t>
  </si>
  <si>
    <t>Osiris</t>
  </si>
  <si>
    <t>scottwtaylor67@gmail.com</t>
  </si>
  <si>
    <t>Lord Penitent</t>
  </si>
  <si>
    <t>fishermanaaron1@yahoo.com</t>
  </si>
  <si>
    <t>Lady Penitent</t>
  </si>
  <si>
    <t>revkah23@yahoo.com</t>
  </si>
  <si>
    <t>TheSmilingLion</t>
  </si>
  <si>
    <t>luimi_revolution@hotmail.com</t>
  </si>
  <si>
    <t>MadRedLion</t>
  </si>
  <si>
    <t>nauticalterm@gmail.com</t>
  </si>
  <si>
    <t>OldMadLion</t>
  </si>
  <si>
    <t>jmtomei@hotmail.com</t>
  </si>
  <si>
    <t>TheMadLion</t>
  </si>
  <si>
    <t>gotoxygen@gmail.com</t>
  </si>
  <si>
    <t>Cateran123</t>
  </si>
  <si>
    <t>TheWilyWizard</t>
  </si>
  <si>
    <t>dkw1951@Yahoo.com</t>
  </si>
  <si>
    <t>4138Joshua</t>
  </si>
  <si>
    <t>one of the 0gs</t>
  </si>
  <si>
    <t>Scythica</t>
  </si>
  <si>
    <t>exist2inspire1805@gmail.com</t>
  </si>
  <si>
    <t>ragnarok9</t>
  </si>
  <si>
    <t>ZombieUnicorn</t>
  </si>
  <si>
    <t>lionclaw6@gmail.com</t>
  </si>
  <si>
    <t>Lion of Highland Pride</t>
  </si>
  <si>
    <t xml:space="preserve">lionofpride1@gmail.com
</t>
  </si>
  <si>
    <t>Fulminata</t>
  </si>
  <si>
    <t>33,429!</t>
  </si>
  <si>
    <t>heTheThe</t>
  </si>
  <si>
    <t>Merida gyulez@gmail.com</t>
  </si>
  <si>
    <t>yuu</t>
  </si>
  <si>
    <t>Alts</t>
  </si>
  <si>
    <t>Stealth</t>
  </si>
  <si>
    <t>buckojr</t>
  </si>
  <si>
    <t>plaguena13@gmail.com</t>
  </si>
  <si>
    <t>BLUEMAN</t>
  </si>
  <si>
    <t>mrdirk</t>
  </si>
  <si>
    <t>hpu333@yahoo.com</t>
  </si>
  <si>
    <t>Godisgood5656</t>
  </si>
  <si>
    <t>poco</t>
  </si>
  <si>
    <t>brown_451@hotmail.com</t>
  </si>
  <si>
    <t>buck#11</t>
  </si>
  <si>
    <t>bluehorse</t>
  </si>
  <si>
    <t>ProfChaos</t>
  </si>
  <si>
    <t>rtharp02@gmail.com</t>
  </si>
  <si>
    <t>G0dzilla</t>
  </si>
  <si>
    <t>&lt;cat</t>
  </si>
  <si>
    <t>TaTaFeline</t>
  </si>
  <si>
    <t>Mistersergio13@gmail.com</t>
  </si>
  <si>
    <t>Smoofers777</t>
  </si>
  <si>
    <t>Clive</t>
  </si>
  <si>
    <t>Seaquest85@yahoo.com</t>
  </si>
  <si>
    <t>smurf1</t>
  </si>
  <si>
    <t>&lt;Vic</t>
  </si>
  <si>
    <t>Cat's Logs</t>
  </si>
  <si>
    <t>ScaryKitty</t>
  </si>
  <si>
    <t>zsk54321@yahoo.com</t>
  </si>
  <si>
    <t>Football234</t>
  </si>
  <si>
    <t>arch glitch</t>
  </si>
  <si>
    <t>Thaudan</t>
  </si>
  <si>
    <t>zsk54321@gmail.com</t>
  </si>
  <si>
    <t>viper7</t>
  </si>
  <si>
    <t>HC Holders</t>
  </si>
  <si>
    <t>ThePadre</t>
  </si>
  <si>
    <t>Rwerner@live.com</t>
  </si>
  <si>
    <t>PapaBear2013</t>
  </si>
  <si>
    <t>&lt;vic</t>
  </si>
  <si>
    <t>QUE</t>
  </si>
  <si>
    <t>mrqbiii@yahoo.com</t>
  </si>
  <si>
    <t>cheesehead</t>
  </si>
  <si>
    <t>&lt;tri</t>
  </si>
  <si>
    <t>Gauntlet</t>
  </si>
  <si>
    <t>mattzac@live.com</t>
  </si>
  <si>
    <t>Viper7</t>
  </si>
  <si>
    <t>Deleted</t>
  </si>
  <si>
    <t>Santana26</t>
  </si>
  <si>
    <t>santana2603@gmail.com</t>
  </si>
  <si>
    <t>yugioh10</t>
  </si>
  <si>
    <t>TroubleSom</t>
  </si>
  <si>
    <t>edward660@hotmail.com</t>
  </si>
  <si>
    <t>fruit123</t>
  </si>
  <si>
    <t>&lt;trond</t>
  </si>
  <si>
    <t>ViperVixen</t>
  </si>
  <si>
    <t>elperl4@yahoo.com</t>
  </si>
  <si>
    <t>ogsec7</t>
  </si>
  <si>
    <t>Stevee</t>
  </si>
  <si>
    <t>strange</t>
  </si>
  <si>
    <t>wesleyhalling@yahoo.com</t>
  </si>
  <si>
    <t>steve2315</t>
  </si>
  <si>
    <t>Z0mbieCorp</t>
  </si>
  <si>
    <t>langley_timothy@yahoo.com</t>
  </si>
  <si>
    <t>thetrooper</t>
  </si>
  <si>
    <t>bg</t>
  </si>
  <si>
    <t>williamrlongjr@gmail.com</t>
  </si>
  <si>
    <t>bianca</t>
  </si>
  <si>
    <t>tonyjofo</t>
  </si>
  <si>
    <t>tfornelli@aol.com</t>
  </si>
  <si>
    <t>jofotony7</t>
  </si>
  <si>
    <t>mikecool</t>
  </si>
  <si>
    <t>teasley1889@yahoo.com</t>
  </si>
  <si>
    <t>Reilly05</t>
  </si>
  <si>
    <t>vic</t>
  </si>
  <si>
    <t>Enforcer</t>
  </si>
  <si>
    <t>hpu357@yahoo.com</t>
  </si>
  <si>
    <t>5656planes</t>
  </si>
  <si>
    <t>MastaLon</t>
  </si>
  <si>
    <t>lucasgaeth@hotmail.com</t>
  </si>
  <si>
    <t>Crusaderz991773!</t>
  </si>
  <si>
    <t>55@nton</t>
  </si>
  <si>
    <t>DickDaily</t>
  </si>
  <si>
    <t>rsimoes@gmx.com</t>
  </si>
  <si>
    <t xml:space="preserve">PureLon </t>
  </si>
  <si>
    <t>Jac_6788@yahoo.com</t>
  </si>
  <si>
    <t xml:space="preserve">CrazyLon </t>
  </si>
  <si>
    <t>bluepuppy_56@hotmail.com</t>
  </si>
  <si>
    <t>Saviour</t>
  </si>
  <si>
    <t>sleddog218@yahoo.com</t>
  </si>
  <si>
    <t>sec code 2097</t>
  </si>
  <si>
    <t>sprt9</t>
  </si>
  <si>
    <t>LEConner1974@gmail.com</t>
  </si>
  <si>
    <t>Parish</t>
  </si>
  <si>
    <t>e1alex@hotmail.com</t>
  </si>
  <si>
    <t>stop123</t>
  </si>
  <si>
    <t>CrazyBaby</t>
  </si>
  <si>
    <t>squeezemetite@yahoo.com.au</t>
  </si>
  <si>
    <t>Aprentice</t>
  </si>
  <si>
    <t>e3alex@hotmail.com</t>
  </si>
  <si>
    <t>StewyLon</t>
  </si>
  <si>
    <t>64stewart@gmail.com</t>
  </si>
  <si>
    <t>Blondy</t>
  </si>
  <si>
    <t>e2alex@hotmail.com</t>
  </si>
  <si>
    <t>Divas</t>
  </si>
  <si>
    <t>e44alex@hotmail.com</t>
  </si>
  <si>
    <t>Bella2</t>
  </si>
  <si>
    <t>shewolf@citcom.net</t>
  </si>
  <si>
    <t>Crusader2z991773!</t>
  </si>
  <si>
    <t>Emma</t>
  </si>
  <si>
    <t>e5alex@hotmail.com</t>
  </si>
  <si>
    <t>SATCH</t>
  </si>
  <si>
    <t>Bella</t>
  </si>
  <si>
    <t>bemy@citcom.net</t>
  </si>
  <si>
    <t>Klein</t>
  </si>
  <si>
    <t>e7alex@hotmail.com</t>
  </si>
  <si>
    <t>satchman</t>
  </si>
  <si>
    <t>freeze999@outlook.com</t>
  </si>
  <si>
    <t>What</t>
  </si>
  <si>
    <t>yoni273@gmail.com</t>
  </si>
  <si>
    <t>stupid</t>
  </si>
  <si>
    <t>SlyStevee</t>
  </si>
  <si>
    <t>alex_ermolaev@yahoo.com</t>
  </si>
  <si>
    <t>MATCH</t>
  </si>
  <si>
    <t>freeze888@outlook.com</t>
  </si>
  <si>
    <t>FridayFlute</t>
  </si>
  <si>
    <t>legacy-nj@juno.com</t>
  </si>
  <si>
    <t>Prety</t>
  </si>
  <si>
    <t>alex@alanta.com</t>
  </si>
  <si>
    <t>wasatch</t>
  </si>
  <si>
    <t>satchman69@hotmail.com</t>
  </si>
  <si>
    <t>Sentinal</t>
  </si>
  <si>
    <t>jtfletch16@yahoo.com</t>
  </si>
  <si>
    <t>myseattle</t>
  </si>
  <si>
    <t>newmyseattle@yahoo.com</t>
  </si>
  <si>
    <t>watch</t>
  </si>
  <si>
    <t>jasonj@generator.com</t>
  </si>
  <si>
    <t>crazyhindu</t>
  </si>
  <si>
    <t>m.ribbons@yahoo.com.au</t>
  </si>
  <si>
    <t>Stevoo</t>
  </si>
  <si>
    <t>alsermolaev@gmail.com</t>
  </si>
  <si>
    <t>SirRich</t>
  </si>
  <si>
    <t>richardblack1@comcast.net</t>
  </si>
  <si>
    <t>Fentanyl</t>
  </si>
  <si>
    <t>chrishe@telus.net</t>
  </si>
  <si>
    <t>services</t>
  </si>
  <si>
    <t>Huntr</t>
  </si>
  <si>
    <t>jjmckay6man@yahoo.com</t>
  </si>
  <si>
    <t>Evhunt#88</t>
  </si>
  <si>
    <t>Woe</t>
  </si>
  <si>
    <t xml:space="preserve"> </t>
  </si>
  <si>
    <t>Twowolves</t>
  </si>
  <si>
    <t>twowolves7@gmail.com</t>
  </si>
  <si>
    <t>Renegade721</t>
  </si>
  <si>
    <t>troops</t>
  </si>
  <si>
    <t>honeyrose</t>
  </si>
  <si>
    <t>misshoneyrose@hotmail.co.uk</t>
  </si>
  <si>
    <t>Crazyone</t>
  </si>
  <si>
    <t>nobwen@hotmail.com</t>
  </si>
  <si>
    <t>orioles123</t>
  </si>
  <si>
    <t>serbia</t>
  </si>
  <si>
    <t xml:space="preserve">satch229@gmail.com </t>
  </si>
  <si>
    <t xml:space="preserve">AsianMofo </t>
  </si>
  <si>
    <t>michelle_hanson9@hotmail.com</t>
  </si>
  <si>
    <t>abc123</t>
  </si>
  <si>
    <t>Satch alts</t>
  </si>
  <si>
    <t>CrazySent</t>
  </si>
  <si>
    <t>sapphire_71@hotmail.com</t>
  </si>
  <si>
    <t>supson</t>
  </si>
  <si>
    <t xml:space="preserve">aaron-evony@jcuz.com  </t>
  </si>
  <si>
    <t>kugssen</t>
  </si>
  <si>
    <t>PureSent</t>
  </si>
  <si>
    <t>jtfletch123@yahoo.com</t>
  </si>
  <si>
    <t>sulli123</t>
  </si>
  <si>
    <t>theconkerh</t>
  </si>
  <si>
    <t xml:space="preserve">Leetomevony@yahoo.com </t>
  </si>
  <si>
    <t>remmy700</t>
  </si>
  <si>
    <t>LON</t>
  </si>
  <si>
    <t>fulon@hotmail.com</t>
  </si>
  <si>
    <t>whatamuck</t>
  </si>
  <si>
    <t xml:space="preserve">malekisaman@rocketmail.com </t>
  </si>
  <si>
    <t>TheLon</t>
  </si>
  <si>
    <t>navegador@gmx.com</t>
  </si>
  <si>
    <t>rabbithole</t>
  </si>
  <si>
    <t xml:space="preserve">baritter@uiuc.edu </t>
  </si>
  <si>
    <t>anann06</t>
  </si>
  <si>
    <t>CrazyStew</t>
  </si>
  <si>
    <t>toy64@live.co.uk</t>
  </si>
  <si>
    <t>the undead</t>
  </si>
  <si>
    <t xml:space="preserve">dabiggdogg2001@yahoo.com  </t>
  </si>
  <si>
    <t>pureheart (WH2)</t>
  </si>
  <si>
    <t>liquidgold</t>
  </si>
  <si>
    <t xml:space="preserve">kugslite@hotmail.com  </t>
  </si>
  <si>
    <t>littleb</t>
  </si>
  <si>
    <t xml:space="preserve">kugslite@gmail.com </t>
  </si>
  <si>
    <t>jackiena1</t>
  </si>
  <si>
    <t xml:space="preserve">teo_foi@yahoo.com </t>
  </si>
  <si>
    <t>sprayer4930</t>
  </si>
  <si>
    <t>23:00:21  Player info: JackieNA1, sex: Female, alliance: 31337, castleCount: 10, flag: FOFF, starLvl: 15, pres: 28262718, honor: 1808396, rank: 500, pos: General, title: Prinzessin, pop: 220490, votes: 0, voteHistory: 0</t>
  </si>
  <si>
    <t>elmerfudd</t>
  </si>
  <si>
    <t>Cold_fear187@hotmail.com</t>
  </si>
  <si>
    <t>snowball</t>
  </si>
  <si>
    <t>23:00:52  Player info: Elmerfudd, sex: Male, alliance: null, castleCount: 1, flag: Bugs, starLvl: 0, pres: 23798, honor: 0, rank: 55175, pos: Captain, title: Knight, pop: 3037, votes: 0, voteHistory: 0</t>
  </si>
  <si>
    <t>Accounts with troops:</t>
  </si>
  <si>
    <t>Khans:</t>
  </si>
  <si>
    <t>Stealth:</t>
  </si>
  <si>
    <t>Alts:</t>
  </si>
  <si>
    <t>Acc name</t>
  </si>
  <si>
    <t>Assests</t>
  </si>
  <si>
    <t>Last Log</t>
  </si>
  <si>
    <t>https://gyazo.com/5f93635986ae88ab3356bf938f46baf6</t>
  </si>
  <si>
    <t>8HH</t>
  </si>
  <si>
    <t>Zakari Kenpachi</t>
  </si>
  <si>
    <t>Og/Na</t>
  </si>
  <si>
    <t>https://gyazo.com/d64cb8205a085e370d6c9d835c98cfdd</t>
  </si>
  <si>
    <t>Stygs</t>
  </si>
  <si>
    <t>64 days</t>
  </si>
  <si>
    <t>TriTip</t>
  </si>
  <si>
    <t>Tri/Khans</t>
  </si>
  <si>
    <t>https://gyazo.com/0bb99d84d9823c82611f7984b9f60f7b</t>
  </si>
  <si>
    <t>49TR</t>
  </si>
  <si>
    <t>60 days+</t>
  </si>
  <si>
    <t>https://gyazo.com/4ce07bb18bcfa3d8c6a2971cbcecb17c</t>
  </si>
  <si>
    <t>14 ,HH</t>
  </si>
  <si>
    <t>Today</t>
  </si>
  <si>
    <t>https://gyazo.com/338db32ceb819a381c8061ccb0c0db0f</t>
  </si>
  <si>
    <t>12 on 14</t>
  </si>
  <si>
    <t>49 daays</t>
  </si>
  <si>
    <t>HarlequinZ</t>
  </si>
  <si>
    <t>Khans/Madball</t>
  </si>
  <si>
    <t>https://gyazo.com/150fe413f1b0d4746b1bc2137f81c518</t>
  </si>
  <si>
    <t>16, 17HH</t>
  </si>
  <si>
    <t>ChinaGirl</t>
  </si>
  <si>
    <t>NoOne</t>
  </si>
  <si>
    <t>https://gyazo.com/7b552502e9196b76007f0068352f58af</t>
  </si>
  <si>
    <t>11TR</t>
  </si>
  <si>
    <t>92 days</t>
  </si>
  <si>
    <t>Khans/Driver</t>
  </si>
  <si>
    <t>16, HH</t>
  </si>
  <si>
    <t>Celv</t>
  </si>
  <si>
    <t>https://gyazo.com/eb6879f704695f0444b0a8e4c4b1ff52</t>
  </si>
  <si>
    <t>2hh</t>
  </si>
  <si>
    <t>39 days</t>
  </si>
  <si>
    <t>Yero</t>
  </si>
  <si>
    <t>https://gyazo.com/1aba4766e97f0f4153bcc52f92cfe022</t>
  </si>
  <si>
    <t>https://gyazo.com/ccc549e6a7fa26e380d58a78cd3291fb</t>
  </si>
  <si>
    <t>Trish</t>
  </si>
  <si>
    <t>BOOTED</t>
  </si>
  <si>
    <t>https://gyazo.com/c260c28c8da40f2ce10619797958e0a5</t>
  </si>
  <si>
    <t>Stygs 33TR</t>
  </si>
  <si>
    <t>25 days</t>
  </si>
  <si>
    <t>NA/Og</t>
  </si>
  <si>
    <t>https://gyazo.com/508fc6761dc0cf89f06d17df54557571   ,  https://gyazo.com/6bbfb8ff3d88e53d44ef24a9d2d1df91</t>
  </si>
  <si>
    <t xml:space="preserve">14, 2HH </t>
  </si>
  <si>
    <t>1 day(me i think)</t>
  </si>
  <si>
    <t>NA/Driver</t>
  </si>
  <si>
    <t>https://gyazo.com/c5fc5f65404f2de2707b1a24c84ac379       https://gyazo.com/d40969bcd5114d83580da7dead9aa8fa</t>
  </si>
  <si>
    <t>8HH ,Key 12</t>
  </si>
  <si>
    <t>14 days</t>
  </si>
  <si>
    <t>NA/ Madball had last</t>
  </si>
  <si>
    <t>https://gyazo.com/2140b6ea4222392e7d264a6a35defd60</t>
  </si>
  <si>
    <t>35 days</t>
  </si>
  <si>
    <t>CrazyJuice</t>
  </si>
  <si>
    <t>Screw</t>
  </si>
  <si>
    <t>https://gyazo.com/8b161a65f93ac1cce7960a4604f5439d</t>
  </si>
  <si>
    <t>15 days</t>
  </si>
  <si>
    <t>Marty/ TH4N0S</t>
  </si>
  <si>
    <t>?? LION??</t>
  </si>
  <si>
    <t>https://gyazo.com/957e636353f3ba7ceb7a9dd3d1cb281b</t>
  </si>
  <si>
    <t>22 days</t>
  </si>
  <si>
    <t>???</t>
  </si>
  <si>
    <t>NONE</t>
  </si>
  <si>
    <t>30 TR 4k cents</t>
  </si>
  <si>
    <t>https://gyazo.com/bfa09caf9a8fdc660e35c635ebcece85</t>
  </si>
  <si>
    <t>55TR</t>
  </si>
  <si>
    <t>60 days</t>
  </si>
  <si>
    <t>Lion?</t>
  </si>
  <si>
    <t>LOADS</t>
  </si>
  <si>
    <t>2HH, 12, 3.2k cents</t>
  </si>
  <si>
    <t>38 days</t>
  </si>
  <si>
    <t>Bobsfakeid2@yahoo.com</t>
  </si>
  <si>
    <t>Satch</t>
  </si>
  <si>
    <t>Baby Mia</t>
  </si>
  <si>
    <t>LeoCasserly1@hotmail.com</t>
  </si>
  <si>
    <t>7x7</t>
  </si>
  <si>
    <t>TicTokeTri</t>
  </si>
  <si>
    <t>markramier@gmail.com</t>
  </si>
  <si>
    <t>GTAVT2</t>
  </si>
  <si>
    <t>EjGreat</t>
  </si>
  <si>
    <t>ironhead2235@yahoo.com</t>
  </si>
  <si>
    <t>GodsBeGood2Me.</t>
  </si>
  <si>
    <t>rapture15@hotmail.com</t>
  </si>
  <si>
    <t>WarHammer1996</t>
  </si>
  <si>
    <t>KCA</t>
  </si>
  <si>
    <t>alf481@hotmail.com</t>
  </si>
  <si>
    <t>TicTokeTar</t>
  </si>
  <si>
    <t>bainesj74@yahoo.com</t>
  </si>
  <si>
    <t>Satch1</t>
  </si>
  <si>
    <t>satchman777@gmail.com</t>
  </si>
  <si>
    <t>Satch2</t>
  </si>
  <si>
    <t>coffinsatch@gmail.com</t>
  </si>
  <si>
    <t xml:space="preserve">Lion </t>
  </si>
  <si>
    <t>Lionofpride1@gmail.com</t>
  </si>
  <si>
    <t>28+ 1KC</t>
  </si>
  <si>
    <t>Que</t>
  </si>
  <si>
    <t>MrDirk</t>
  </si>
  <si>
    <t>CrazyAsian</t>
  </si>
  <si>
    <t>AsianMofo</t>
  </si>
  <si>
    <t>BadDing</t>
  </si>
  <si>
    <t>Force</t>
  </si>
  <si>
    <t>MrStacker</t>
  </si>
  <si>
    <t>MrLaw</t>
  </si>
  <si>
    <t>Cheech</t>
  </si>
  <si>
    <t>Choppers</t>
  </si>
  <si>
    <t>3DDDDD</t>
  </si>
  <si>
    <t>Dara</t>
  </si>
  <si>
    <t>Tahsa</t>
  </si>
  <si>
    <t>Anton.visser89</t>
  </si>
  <si>
    <t>66@nT0n12</t>
  </si>
  <si>
    <t>SKYPE</t>
  </si>
  <si>
    <t>Needs WORK</t>
  </si>
  <si>
    <t>12 Set</t>
  </si>
  <si>
    <t>15 Set</t>
  </si>
  <si>
    <t>Da Kurls</t>
  </si>
  <si>
    <t xml:space="preserve">12 set </t>
  </si>
  <si>
    <t>Horse</t>
  </si>
  <si>
    <t xml:space="preserve">1 to 13 </t>
  </si>
  <si>
    <t>MommyCool</t>
  </si>
  <si>
    <t xml:space="preserve">0 set </t>
  </si>
  <si>
    <t>N/M</t>
  </si>
  <si>
    <t>TweetyBird</t>
  </si>
  <si>
    <t xml:space="preserve">15 by the end of M </t>
  </si>
  <si>
    <t>4X4</t>
  </si>
  <si>
    <t>Domnatrix</t>
  </si>
  <si>
    <t>catlinnstorm@gmail.com</t>
  </si>
  <si>
    <t>LordJake1</t>
  </si>
  <si>
    <t>Jhoopes01@yahoo.com</t>
  </si>
  <si>
    <t xml:space="preserve">MagicLie </t>
  </si>
  <si>
    <t>goose32</t>
  </si>
  <si>
    <t xml:space="preserve">Nicola </t>
  </si>
  <si>
    <t xml:space="preserve">NOTE: </t>
  </si>
  <si>
    <t>THESE ACCOUNT LOGS WERE GIVEN TO BORG BY LT, THEY CONTAIN THE LOGS OF SOME OTHER PEOPLES ALTS</t>
  </si>
  <si>
    <t>ALL LOGS ARE HOW HE GAVE THEM TO ME IN A TEXT DOC</t>
  </si>
  <si>
    <t>TEXT DOC</t>
  </si>
  <si>
    <t>https://drive.google.com/file/d/1VbnBe1G1tE3gKfWT4XeNSaYY1yIQd6L5/view?usp=sharing</t>
  </si>
  <si>
    <t>Bottom part of text doc is taken from Discord chats</t>
  </si>
  <si>
    <t>"SIMOA"</t>
  </si>
  <si>
    <t>Siren</t>
  </si>
  <si>
    <t>godivaevony@yahoo.com</t>
  </si>
  <si>
    <t>SirensSoli2D</t>
  </si>
  <si>
    <t>75TR 2k c</t>
  </si>
  <si>
    <t>CrazyChod</t>
  </si>
  <si>
    <t>azndrugz@yahoo.com</t>
  </si>
  <si>
    <t>timeline1</t>
  </si>
  <si>
    <t>"barb"</t>
  </si>
  <si>
    <t>evonian</t>
  </si>
  <si>
    <t>e.hi42@yahoo.com</t>
  </si>
  <si>
    <t>balls666</t>
  </si>
  <si>
    <t>bungarian</t>
  </si>
  <si>
    <t>revell753@hotmail.com</t>
  </si>
  <si>
    <t>Vadar01</t>
  </si>
  <si>
    <t>or vadar01</t>
  </si>
  <si>
    <t>Algor</t>
  </si>
  <si>
    <t>alanweller625@btinternet.com</t>
  </si>
  <si>
    <t>mrjoshua</t>
  </si>
  <si>
    <t>DELETED</t>
  </si>
  <si>
    <t xml:space="preserve">Likeaboss    </t>
  </si>
  <si>
    <t>Cotton_candy_for_u@yahoo.com</t>
  </si>
  <si>
    <t>Kbnj1657</t>
  </si>
  <si>
    <t>58 days</t>
  </si>
  <si>
    <t>-</t>
  </si>
  <si>
    <t>Loria</t>
  </si>
  <si>
    <t>elacetay12@yahoo.com</t>
  </si>
  <si>
    <t xml:space="preserve">CrazyRab     </t>
  </si>
  <si>
    <t>robcuaw2250@aol.com</t>
  </si>
  <si>
    <t>Repair69</t>
  </si>
  <si>
    <t>2 days</t>
  </si>
  <si>
    <t>killmegood</t>
  </si>
  <si>
    <t>auto180@live.com</t>
  </si>
  <si>
    <t>racer694</t>
  </si>
  <si>
    <t>Diaperman</t>
  </si>
  <si>
    <t>lyarrocks@hotmail.com</t>
  </si>
  <si>
    <t>purenappy5</t>
  </si>
  <si>
    <t>HOST XOD</t>
  </si>
  <si>
    <t xml:space="preserve">lifeless_204    </t>
  </si>
  <si>
    <t xml:space="preserve">sixandclimbing69@gmail.com </t>
  </si>
  <si>
    <t>missy123</t>
  </si>
  <si>
    <t>botkiller</t>
  </si>
  <si>
    <t>iikissmygritsii@yahoo.com</t>
  </si>
  <si>
    <t xml:space="preserve">crazyww      </t>
  </si>
  <si>
    <t xml:space="preserve">chemistrywizard2@yahoo.ca </t>
  </si>
  <si>
    <t>69wombat69</t>
  </si>
  <si>
    <t>90TR</t>
  </si>
  <si>
    <t>merida</t>
  </si>
  <si>
    <t xml:space="preserve">Crazyballs        </t>
  </si>
  <si>
    <t xml:space="preserve">auto180@yahoo.com         </t>
  </si>
  <si>
    <t>Logaholic</t>
  </si>
  <si>
    <t>skinnerindustries@yahoo.com</t>
  </si>
  <si>
    <t xml:space="preserve">shaggin78 </t>
  </si>
  <si>
    <t>brendan11</t>
  </si>
  <si>
    <t>TABBIKAT</t>
  </si>
  <si>
    <t xml:space="preserve">CrazyChod   </t>
  </si>
  <si>
    <t>Plauge</t>
  </si>
  <si>
    <t>CrazyKid</t>
  </si>
  <si>
    <t>zak21@blueyonder.co.uk</t>
  </si>
  <si>
    <t>december</t>
  </si>
  <si>
    <t>41TR</t>
  </si>
  <si>
    <t>borg</t>
  </si>
  <si>
    <t xml:space="preserve">feeder </t>
  </si>
  <si>
    <t>1bamf</t>
  </si>
  <si>
    <t>fearmenows@yahoo.com</t>
  </si>
  <si>
    <t>Hoosier2010</t>
  </si>
  <si>
    <t>killhappy1</t>
  </si>
  <si>
    <t>q_t_p_i_e99@yahoo.com</t>
  </si>
  <si>
    <t>CRAZYTURK</t>
  </si>
  <si>
    <t xml:space="preserve">nailbomb123  </t>
  </si>
  <si>
    <t>KRAZYTURK</t>
  </si>
  <si>
    <t>jjjones@iinet.net.au</t>
  </si>
  <si>
    <t>SouthOfHeaven</t>
  </si>
  <si>
    <t>Madmum</t>
  </si>
  <si>
    <t>pttam@bigpond.com</t>
  </si>
  <si>
    <t>CRAZYTJ</t>
  </si>
  <si>
    <t>varun123patel@yahoo.com</t>
  </si>
  <si>
    <t>toygar78</t>
  </si>
  <si>
    <t>85theenemy</t>
  </si>
  <si>
    <t xml:space="preserve">lavaye18@yahoo.com </t>
  </si>
  <si>
    <t>Dugon1985</t>
  </si>
  <si>
    <t>apache</t>
  </si>
  <si>
    <t>jburkhardt0@gmail.com</t>
  </si>
  <si>
    <t>Kugs</t>
  </si>
  <si>
    <t>renegade</t>
  </si>
  <si>
    <t>jameson_mckee@live.com</t>
  </si>
  <si>
    <t>merda123</t>
  </si>
  <si>
    <t>barb</t>
  </si>
  <si>
    <t>Elloo</t>
  </si>
  <si>
    <t>scream.your.heartout@windowslive.com</t>
  </si>
  <si>
    <t>lollian</t>
  </si>
  <si>
    <t>piendro@gmail.com</t>
  </si>
  <si>
    <t>tinkerbell1</t>
  </si>
  <si>
    <t>savage_territory@mocospace.com</t>
  </si>
  <si>
    <t>lavaye18@yahoo.com</t>
  </si>
  <si>
    <t>Samson</t>
  </si>
  <si>
    <t>LORD SAV</t>
  </si>
  <si>
    <t>boozyfree@hushmail.com</t>
  </si>
  <si>
    <t>k00li0</t>
  </si>
  <si>
    <t>CrazyDaisy</t>
  </si>
  <si>
    <t>patrick_fnn@yahoo.com</t>
  </si>
  <si>
    <t>guiness3</t>
  </si>
  <si>
    <t>if a passwork dont work, it might have been changed to cookie</t>
  </si>
  <si>
    <t>crazylara</t>
  </si>
  <si>
    <t>kakarot1973@hotmail.com</t>
  </si>
  <si>
    <t>1qaz2wsxed</t>
  </si>
  <si>
    <t>59tr</t>
  </si>
  <si>
    <t>Sparklie</t>
  </si>
  <si>
    <t>gozdev@hotmail.com</t>
  </si>
  <si>
    <t>NOT SUZED</t>
  </si>
  <si>
    <t>ARCH77</t>
  </si>
  <si>
    <t>patchwork_77@yahoo.com</t>
  </si>
  <si>
    <t>ytrewq</t>
  </si>
  <si>
    <t>Daneri</t>
  </si>
  <si>
    <t>twoguys@mail.com</t>
  </si>
  <si>
    <t>bullet2004</t>
  </si>
  <si>
    <t>other alts</t>
  </si>
  <si>
    <t>Savage</t>
  </si>
  <si>
    <t xml:space="preserve"> watsonj50@hotmail.com</t>
  </si>
  <si>
    <t>Gd306</t>
  </si>
  <si>
    <t>gdmarkus@hotmail.com</t>
  </si>
  <si>
    <t>guydav</t>
  </si>
  <si>
    <t xml:space="preserve">Davidevony        </t>
  </si>
  <si>
    <t>davidenvoy@hotmail.com</t>
  </si>
  <si>
    <t>CrazyDM</t>
  </si>
  <si>
    <t xml:space="preserve">yucon2466@yahoo.com     </t>
  </si>
  <si>
    <t>1vermonter</t>
  </si>
  <si>
    <t xml:space="preserve">zeezee </t>
  </si>
  <si>
    <t xml:space="preserve">yucon1966@yahoo.com     </t>
  </si>
  <si>
    <t>vermonter1</t>
  </si>
  <si>
    <t>RedQueen</t>
  </si>
  <si>
    <t xml:space="preserve">jenspast1991@yahoo.com    </t>
  </si>
  <si>
    <t>redfox</t>
  </si>
  <si>
    <t>VH XOD</t>
  </si>
  <si>
    <t xml:space="preserve">CoolArrow       </t>
  </si>
  <si>
    <t>Midnightemissary@gmail.com</t>
  </si>
  <si>
    <t>Vidnight</t>
  </si>
  <si>
    <t>PAB</t>
  </si>
  <si>
    <t>erich.schlegel@us.fujitsu.com</t>
  </si>
  <si>
    <t>4thebagel</t>
  </si>
  <si>
    <t>40tr</t>
  </si>
  <si>
    <t>IamChoder</t>
  </si>
  <si>
    <t>bill.prins@gmail.com</t>
  </si>
  <si>
    <t>macoss</t>
  </si>
  <si>
    <t>GhostRaider</t>
  </si>
  <si>
    <t>dustysoccer0@hotmail.com</t>
  </si>
  <si>
    <t>soccer</t>
  </si>
  <si>
    <t>Chodebitch</t>
  </si>
  <si>
    <t>chrischen421@gmail.com</t>
  </si>
  <si>
    <t>Saphire</t>
  </si>
  <si>
    <t>saphires1@hotmail.com</t>
  </si>
  <si>
    <t>GemsNJewels</t>
  </si>
  <si>
    <t>David960</t>
  </si>
  <si>
    <t xml:space="preserve">diamonddave960@yahoo.com </t>
  </si>
  <si>
    <t>fran916</t>
  </si>
  <si>
    <t>Vorador</t>
  </si>
  <si>
    <t>medri15@yahoo.com</t>
  </si>
  <si>
    <t>CrazyIvana</t>
  </si>
  <si>
    <t>wally.nino@yahoo.com</t>
  </si>
  <si>
    <t>10molly10</t>
  </si>
  <si>
    <t>ladytara</t>
  </si>
  <si>
    <t>CrazyRill</t>
  </si>
  <si>
    <t>terrillevony@yahoo.com</t>
  </si>
  <si>
    <t>CrazyLT</t>
  </si>
  <si>
    <t>hunygurl67@yahoo.com</t>
  </si>
  <si>
    <t>CRAZYR1G</t>
  </si>
  <si>
    <t>masterramrod@hotmail.co.uk</t>
  </si>
  <si>
    <t>silentassassin</t>
  </si>
  <si>
    <t xml:space="preserve">fox		</t>
  </si>
  <si>
    <t>pllyankees@hotmail.com</t>
  </si>
  <si>
    <t>"laneyrunning"</t>
  </si>
  <si>
    <t>KangWR</t>
  </si>
  <si>
    <t>ykamhong@yahoo.com</t>
  </si>
  <si>
    <t>000000</t>
  </si>
  <si>
    <t>CRAZYMOFO</t>
  </si>
  <si>
    <t>grosy@musc.edu</t>
  </si>
  <si>
    <t>Catapult1</t>
  </si>
  <si>
    <t>Tard</t>
  </si>
  <si>
    <t>gutter_maintenance@iinet.net.au</t>
  </si>
  <si>
    <t>denagi71</t>
  </si>
  <si>
    <t xml:space="preserve">ant             </t>
  </si>
  <si>
    <t>ypgros@gmail.com</t>
  </si>
  <si>
    <t>yardstickredneck98</t>
  </si>
  <si>
    <t xml:space="preserve">botkiller   </t>
  </si>
  <si>
    <t xml:space="preserve">iikissmygritsii@yahoo.com </t>
  </si>
  <si>
    <t xml:space="preserve">Logaholic   </t>
  </si>
  <si>
    <t>shaggin78</t>
  </si>
  <si>
    <t xml:space="preserve">TABBIKAT    </t>
  </si>
  <si>
    <t xml:space="preserve">lollian     </t>
  </si>
  <si>
    <t xml:space="preserve">piendro@gmail.com         </t>
  </si>
  <si>
    <t xml:space="preserve">85theenemy  </t>
  </si>
  <si>
    <t xml:space="preserve">lavaye18@yahoo.com        </t>
  </si>
  <si>
    <t>marco0070@gmail.com (email him if attacked)</t>
  </si>
  <si>
    <t>DarkRyder7</t>
  </si>
  <si>
    <t>TheMonk</t>
  </si>
  <si>
    <t>MiaAnderson1996</t>
  </si>
  <si>
    <t>16/14/12 Holders</t>
  </si>
  <si>
    <t>Note</t>
  </si>
  <si>
    <t>Link</t>
  </si>
  <si>
    <t>tarasdbe@yahoo.com</t>
  </si>
  <si>
    <t>Balls</t>
  </si>
  <si>
    <t>cupcake</t>
  </si>
  <si>
    <t>choder</t>
  </si>
  <si>
    <t>chen1107</t>
  </si>
  <si>
    <t>Orias</t>
  </si>
  <si>
    <t>isabel.orias@gmail.com</t>
  </si>
  <si>
    <t>donnatx</t>
  </si>
  <si>
    <t>Kong</t>
  </si>
  <si>
    <t>kong_bulat@hotmail.com</t>
  </si>
  <si>
    <t>kong316</t>
  </si>
  <si>
    <t>@r04BIS</t>
  </si>
  <si>
    <t>\\\\\\\\\\\\\</t>
  </si>
  <si>
    <t>trond</t>
  </si>
  <si>
    <t>sweetpain</t>
  </si>
  <si>
    <t>google</t>
  </si>
  <si>
    <t>Shikai!</t>
  </si>
  <si>
    <t>http://cc2.evony.com/s.html?loginid=747970653d66616365626f6f6b266163636573735f746f6b656e3d3337323236383234393833337c6d443835334f4c33373075476f553877353432674b76783245362e333630302e313432303636333033322d3130303030333230393236313137377c35777454645870355953536b4537344669363639737039396b45345026626173655f646f6d61696e3d65766f6e792e636f6d26657870697265733d31343230383335383332267365637265743d7475334e6d466b454843656f307138325a773544743039382673657373696f6e5f6b65793d6d443835334f4c33373075476f553877353432674b76783245362e333630302e313432303636333033322d313030303033323039323631313737267569643d3130303030333230393236313137372666625f7369673d39326438333930353536383765386632323831373033623863303061613131622666627569643d313030303033323039323631313737266c&amp;adv=www_evony_com_inde</t>
  </si>
  <si>
    <t>D</t>
  </si>
  <si>
    <t>pocojet</t>
  </si>
  <si>
    <t>password</t>
  </si>
  <si>
    <t>bloodmoney</t>
  </si>
  <si>
    <t>Kurosaki Isshin TROOPS</t>
  </si>
  <si>
    <t>Muck</t>
  </si>
  <si>
    <t>CrazySIA</t>
  </si>
  <si>
    <t>tace10076707cireta1967kissmyass69</t>
  </si>
  <si>
    <t>Mjunior</t>
  </si>
  <si>
    <t>judson.brown@rcsdk12.org</t>
  </si>
  <si>
    <t>kissmyass69</t>
  </si>
  <si>
    <t>tace67071019cireta1967kissmyass69</t>
  </si>
  <si>
    <t>OgIiss</t>
  </si>
  <si>
    <t>lordgray@hotmail.com</t>
  </si>
  <si>
    <t>skinnydongle</t>
  </si>
  <si>
    <t>fb password benice</t>
  </si>
  <si>
    <t>ogiiss</t>
  </si>
  <si>
    <t>Actives</t>
  </si>
  <si>
    <t>Vip69</t>
  </si>
  <si>
    <t>fb password</t>
  </si>
  <si>
    <t>Vip11</t>
  </si>
  <si>
    <t>ssbrands@kc.rr.com</t>
  </si>
  <si>
    <t>evony login</t>
  </si>
  <si>
    <t>iceboxx</t>
  </si>
  <si>
    <t>iceboxevony@gmail.com</t>
  </si>
  <si>
    <t>Kuchiki Ginrei</t>
  </si>
  <si>
    <t>coltonwilkerson92@yahoo.com</t>
  </si>
  <si>
    <t>softkitty</t>
  </si>
  <si>
    <t>SlySteve</t>
  </si>
  <si>
    <t>steve123</t>
  </si>
  <si>
    <t>BobbyDD</t>
  </si>
  <si>
    <t>ArtLippo</t>
  </si>
  <si>
    <t>jef_wear@hotmail.com</t>
  </si>
  <si>
    <t>hockey</t>
  </si>
  <si>
    <t>25sydneystreet</t>
  </si>
  <si>
    <t>MartyV2</t>
  </si>
  <si>
    <t>martingerard07@aol.com</t>
  </si>
  <si>
    <t>Prince1</t>
  </si>
  <si>
    <t>Namu</t>
  </si>
  <si>
    <t>timothyvogel1990@gmail.com</t>
  </si>
  <si>
    <t>Kyra.2012</t>
  </si>
  <si>
    <t>Og1iss</t>
  </si>
  <si>
    <t>Tang</t>
  </si>
  <si>
    <t>george.escobedojr@yahoo.com</t>
  </si>
  <si>
    <t>STL420</t>
  </si>
  <si>
    <t>DBobbyD</t>
  </si>
  <si>
    <t>Danika</t>
  </si>
  <si>
    <t>dawnbunny101@yahoo.com</t>
  </si>
  <si>
    <t>cheekytoes</t>
  </si>
  <si>
    <t>ChinaGirl Troops</t>
  </si>
  <si>
    <t>sec code 8/5/2</t>
  </si>
  <si>
    <t>EXE</t>
  </si>
  <si>
    <t>mdkluvsjpk@yahoo.com</t>
  </si>
  <si>
    <t>meljer2</t>
  </si>
  <si>
    <t>Darkness</t>
  </si>
  <si>
    <t>tk72@tele2.se</t>
  </si>
  <si>
    <t>kingen</t>
  </si>
  <si>
    <t>Yurneo</t>
  </si>
  <si>
    <t>bartolome_marino@yahoo.com</t>
  </si>
  <si>
    <t>marheaven</t>
  </si>
  <si>
    <t>MrEnyo</t>
  </si>
  <si>
    <t>Markimhof@yahoo.com</t>
  </si>
  <si>
    <t>Pvfd1021</t>
  </si>
  <si>
    <t>Blackstone</t>
  </si>
  <si>
    <t>johnpsandersii@gmail.com</t>
  </si>
  <si>
    <t>W1t0k4s1</t>
  </si>
  <si>
    <t>Ogmob</t>
  </si>
  <si>
    <t>items of interest</t>
  </si>
  <si>
    <t>Malekith the accursed</t>
  </si>
  <si>
    <t>jah_calyx_rastafari@yahoo.com</t>
  </si>
  <si>
    <t>sent1n3l</t>
  </si>
  <si>
    <t>15 set Building</t>
  </si>
  <si>
    <t>"C:\Users\User\Desktop\Bots\</t>
  </si>
  <si>
    <t>\AutoEvony2.html"</t>
  </si>
  <si>
    <t>Shihoin Yoruichi</t>
  </si>
  <si>
    <t>auddyf8@hotmail.com</t>
  </si>
  <si>
    <t>Bankai!</t>
  </si>
  <si>
    <t>15 set arch</t>
  </si>
  <si>
    <t>Abarai Renji</t>
  </si>
  <si>
    <t>fmba07514@blueyonder.co.uk</t>
  </si>
  <si>
    <t>15 set rams</t>
  </si>
  <si>
    <t>Kano Ashido</t>
  </si>
  <si>
    <t>yanto2@hotmail.com</t>
  </si>
  <si>
    <t>Zaraki Kenpachi</t>
  </si>
  <si>
    <t>15 set</t>
  </si>
  <si>
    <t>Madarame Ikkaku</t>
  </si>
  <si>
    <t>kendicosmo@yahoo.com</t>
  </si>
  <si>
    <t>fl1pperz</t>
  </si>
  <si>
    <t>http://cc2.evony.com/s.html?loginid=757365726e616d653d6b656e6469636f736d6f407961686f6f2e636f6d2670617373776f72643d666c31707065727a2669703d3231362e36362e362e313135267265673d30&amp;adv=www_evony_com_inde</t>
  </si>
  <si>
    <t>101tr</t>
  </si>
  <si>
    <t>Kuchiki Koga</t>
  </si>
  <si>
    <t>roejohn1128@gmail.com</t>
  </si>
  <si>
    <t>scouts</t>
  </si>
  <si>
    <t>http://cc2.evony.com/s.html?loginid=757365726e616d653d726f656a6f686e3131323840676d61696c2e636f6d2670617373776f72643d42616e6b6169212669703d3231362e36362e31372e313638267265673d30&amp;adv=www_evony_com_inde</t>
  </si>
  <si>
    <t>PsychoBitch</t>
  </si>
  <si>
    <t>Ichimaru Gin</t>
  </si>
  <si>
    <t>a-j-watson@hotmail.co.uk</t>
  </si>
  <si>
    <t>arch/scouts</t>
  </si>
  <si>
    <t>http://cc2.evony.com/s.html?loginid=757365726e616d653d612d6a2d776174736f6e40686f746d61696c2e636f2e756b2670617373776f72643d42616e6b6169212669703d3231362e36362e31372e313638267265673d30&amp;adv=www_evony_com_inde</t>
  </si>
  <si>
    <t>Ayasegawa Yumichika</t>
  </si>
  <si>
    <t>nicolas.z.leonard@gmail.com</t>
  </si>
  <si>
    <t>scouts, shared owner</t>
  </si>
  <si>
    <t>70tr</t>
  </si>
  <si>
    <t>Tosen Kaname</t>
  </si>
  <si>
    <t>jon9791@yahoo.com</t>
  </si>
  <si>
    <t>Ballista</t>
  </si>
  <si>
    <t>Matsumoto Rangiku</t>
  </si>
  <si>
    <t>randomdragon3@hotmail.com</t>
  </si>
  <si>
    <t>jrend111</t>
  </si>
  <si>
    <t>http://cc2.evony.com/s.html?loginid=757365726e616d653d72616e646f6d647261676f6e3340686f746d61696c2e636f6d2670617373776f72643d42616e6b6169212669703d3231362e36362e31372e313638267265673d30&amp;adv=www_evony_com_inde</t>
  </si>
  <si>
    <t>Erhettus</t>
  </si>
  <si>
    <t>erhettus@hotmail.com</t>
  </si>
  <si>
    <t>Warr</t>
  </si>
  <si>
    <t>Yamamoto Genryusai Shigekuni</t>
  </si>
  <si>
    <t>jon9791@gmail.com</t>
  </si>
  <si>
    <t>Hitsugaya Toshiro</t>
  </si>
  <si>
    <t>chrislogue4396@yahoo.com</t>
  </si>
  <si>
    <t>chocolate30</t>
  </si>
  <si>
    <t>pike</t>
  </si>
  <si>
    <t>http://cc2.evony.com/s.html?loginid=757365726e616d653d63687269736c6f67756534333936407961686f6f2e636f6d2670617373776f72643d42616e6b6169212669703d3231362e36362e31372e313638267265673d30&amp;adv=www_evony_com_inde</t>
  </si>
  <si>
    <t>Amagai Shusukei</t>
  </si>
  <si>
    <t>dr300evony@yahoo.com</t>
  </si>
  <si>
    <t>ballista/scouts</t>
  </si>
  <si>
    <t>Noggin</t>
  </si>
  <si>
    <t>kelvinths@yahoo.com</t>
  </si>
  <si>
    <t>Sashimi911</t>
  </si>
  <si>
    <t>Vic Running</t>
  </si>
  <si>
    <t>KingGuy</t>
  </si>
  <si>
    <t>guy.mundy@tiscali.co.uk</t>
  </si>
  <si>
    <t>http://cc2.evony.com/s.html?loginid=757365726e616d653d6775792e6d756e64794074697363616c692e636f2e756b2670617373776f72643d42616e6b6169212669703d3231362e36362e31372e313638267265673d30&amp;adv=www_evony_com_inde</t>
  </si>
  <si>
    <t>kingguyevony@hotmail.com</t>
  </si>
  <si>
    <t>SwampDiver</t>
  </si>
  <si>
    <t>kathy_burton_885@msn.com</t>
  </si>
  <si>
    <t>Yachiru</t>
  </si>
  <si>
    <t>Someone running</t>
  </si>
  <si>
    <t>Nigeru</t>
  </si>
  <si>
    <t>crazy_leopard03@hotmail.com</t>
  </si>
  <si>
    <t>Hisagi Shuhei</t>
  </si>
  <si>
    <t>geese0525@yahoo.com</t>
  </si>
  <si>
    <t>Kuchiki Byakuya</t>
  </si>
  <si>
    <t>ELPERL4@gmail.com</t>
  </si>
  <si>
    <t>3.5k cents</t>
  </si>
  <si>
    <t>Arche</t>
  </si>
  <si>
    <t>bbb_ark1964@yahoo.com</t>
  </si>
  <si>
    <t>Gracie04</t>
  </si>
  <si>
    <t>Jameston</t>
  </si>
  <si>
    <t>bbb_ark1963@yahoo.com</t>
  </si>
  <si>
    <t>BBBTX alt 3</t>
  </si>
  <si>
    <t>bbb_ark1965@yahoo.com</t>
  </si>
  <si>
    <t>BBBTX alt 4</t>
  </si>
  <si>
    <t>bbb_ark1966@yahoo.com</t>
  </si>
  <si>
    <t>BBBTX alt 5</t>
  </si>
  <si>
    <t>bbb_ark2014@yahoo.com</t>
  </si>
  <si>
    <t>BBBTX alt 6</t>
  </si>
  <si>
    <t>bbb_ark2015@yahoo.com</t>
  </si>
  <si>
    <t>CC2</t>
  </si>
  <si>
    <t>YER0C</t>
  </si>
  <si>
    <t>cmoyers@yahoo.com</t>
  </si>
  <si>
    <t>K1llshot</t>
  </si>
  <si>
    <t>chrisofhouston@yahoo.com</t>
  </si>
  <si>
    <t>Inactives/Alts</t>
  </si>
  <si>
    <t>Chefrey</t>
  </si>
  <si>
    <t>Mk3vento24@yahoo.com</t>
  </si>
  <si>
    <t>1996vento</t>
  </si>
  <si>
    <t>inactive (0g)</t>
  </si>
  <si>
    <t>Legume</t>
  </si>
  <si>
    <t>inactive (BCJT)</t>
  </si>
  <si>
    <t>Jacob</t>
  </si>
  <si>
    <t>rtharp01@gmail.com</t>
  </si>
  <si>
    <t>(Bobby’s Alt) Clippers</t>
  </si>
  <si>
    <t>evonymaster012@gmail.com</t>
  </si>
  <si>
    <t>Patters0n</t>
  </si>
  <si>
    <t>(Bobby’s Alt) DeTC</t>
  </si>
  <si>
    <t>Kenny</t>
  </si>
  <si>
    <t>Vic</t>
  </si>
  <si>
    <t>leone king</t>
  </si>
  <si>
    <t>kennyleone@yahoo.co.uk</t>
  </si>
  <si>
    <t>Anvil</t>
  </si>
  <si>
    <t>cheezehead77</t>
  </si>
  <si>
    <t>cat/bobby</t>
  </si>
  <si>
    <t>1000 ammies</t>
  </si>
  <si>
    <t>curious1</t>
  </si>
  <si>
    <t>kittenbaby</t>
  </si>
  <si>
    <t>mofei2000@live.cn</t>
  </si>
  <si>
    <t>darkryder7</t>
  </si>
  <si>
    <t>Not working</t>
  </si>
  <si>
    <t>SWDOFJST</t>
  </si>
  <si>
    <t>Chefrey24</t>
  </si>
  <si>
    <t>(SkySteve)</t>
  </si>
  <si>
    <t>4k cents</t>
  </si>
  <si>
    <t>Gorillaz</t>
  </si>
  <si>
    <t>reddogs</t>
  </si>
  <si>
    <t>reddogs@writeme.com</t>
  </si>
  <si>
    <t>indyice69</t>
  </si>
  <si>
    <t>Lburchianti@bellsouth.net</t>
  </si>
  <si>
    <t>Kfcking</t>
  </si>
  <si>
    <t>ausseif@hotmail.com</t>
  </si>
  <si>
    <t>Canesalive</t>
  </si>
  <si>
    <t xml:space="preserve">cane1278@yahoo.com </t>
  </si>
  <si>
    <t>louis(drivers alt)</t>
  </si>
  <si>
    <t>lfhill@gmail.com</t>
  </si>
  <si>
    <t>Ashanti</t>
  </si>
  <si>
    <t>has fleets</t>
  </si>
  <si>
    <t>enforcer alt `(HPU)</t>
  </si>
  <si>
    <t>sniatnoc@live.com</t>
  </si>
  <si>
    <t>Cowsaysquack5656</t>
  </si>
  <si>
    <t>enforcer alt (BigMert)</t>
  </si>
  <si>
    <t>jga@roadrunner.com</t>
  </si>
  <si>
    <t>enforcer alt (Clone)</t>
  </si>
  <si>
    <t>hpu321@yahoo.com</t>
  </si>
  <si>
    <t>5656michael</t>
  </si>
  <si>
    <t>Exterminartus Extremus</t>
  </si>
  <si>
    <t>wjgonder@gmail.com</t>
  </si>
  <si>
    <t>J3d!ma5ter</t>
  </si>
  <si>
    <t>MrSmith</t>
  </si>
  <si>
    <t>Darkagetech@gmail.com</t>
  </si>
  <si>
    <t xml:space="preserve">136a 120i lvl1 RH </t>
  </si>
  <si>
    <t>Bumbler</t>
  </si>
  <si>
    <t>Anton.evony@gmail.com</t>
  </si>
  <si>
    <t>70FF 20alch 15end 11Poison Troops</t>
  </si>
  <si>
    <t>Lady Yuna</t>
  </si>
  <si>
    <t>Satch(MISSY)</t>
  </si>
  <si>
    <t>Satch (GoodByeNA1)</t>
  </si>
  <si>
    <t>lion999</t>
  </si>
  <si>
    <t>Clock VA</t>
  </si>
  <si>
    <t>1-78 - 76 = clockface CC2</t>
  </si>
  <si>
    <t>Clockface CC4</t>
  </si>
  <si>
    <t>gregpoole459@ymail.com</t>
  </si>
  <si>
    <t>Chris12</t>
  </si>
  <si>
    <t>troopabusr CC4</t>
  </si>
  <si>
    <t>massrooster@comcast.net</t>
  </si>
  <si>
    <t>Winfeild25</t>
  </si>
  <si>
    <t>bresheet@hotmail.com CC4</t>
  </si>
  <si>
    <t>bresheet@hotmail.com</t>
  </si>
  <si>
    <t>CC4Main</t>
  </si>
  <si>
    <t>Collard@aapt.net.au</t>
  </si>
  <si>
    <t>D6T6A6</t>
  </si>
  <si>
    <t>CC4Alt</t>
  </si>
  <si>
    <t>cfc_paulemm_cfc@hotmail.com</t>
  </si>
  <si>
    <t>D@nielle06</t>
  </si>
  <si>
    <t>Other Alliance</t>
  </si>
  <si>
    <t>fridayflute</t>
  </si>
  <si>
    <t>V1kingFl00t</t>
  </si>
  <si>
    <t>Deathpig</t>
  </si>
  <si>
    <t>Forthwind</t>
  </si>
  <si>
    <t>e12325@att.net</t>
  </si>
  <si>
    <t>Rampart123789</t>
  </si>
  <si>
    <t>Loco464299</t>
  </si>
  <si>
    <t>z991773Crazies4</t>
  </si>
  <si>
    <t>Outrage218</t>
  </si>
  <si>
    <t>LAO SPY ACC</t>
  </si>
  <si>
    <t>Sadik</t>
  </si>
  <si>
    <t>http://na1.evony.com/s.html?loginid=757365726e616d653d736164696b616840686f746d61696c2e636f6d2670617373776f72643d7368697466616365643234372669703d3231362e36362e362e313531267265673d30&amp;adv=www_evony_com_inde</t>
  </si>
  <si>
    <t>maltese_minx@hotmail.com</t>
  </si>
  <si>
    <t>thelionrampant9</t>
  </si>
  <si>
    <t>Emanuel@Evony.roma</t>
  </si>
  <si>
    <t>Cheesehead</t>
  </si>
  <si>
    <t>Sadie</t>
  </si>
  <si>
    <t>vent@mail.com</t>
  </si>
  <si>
    <t>sholms.15@mail.com        (Sadie Holms)        1-937-889-6655      vent@mail.com Vis/Good 90</t>
  </si>
  <si>
    <t>ichigo</t>
  </si>
  <si>
    <t>ogliss@mail.com</t>
  </si>
  <si>
    <t>jrend1</t>
  </si>
  <si>
    <t>[10/18/2015 12:38:20 AM] Orias: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</si>
</sst>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mmmd"/>
    <numFmt numFmtId="166" formatCode="mmmm d"/>
  </numFmts>
  <fonts count="49">
    <font>
      <sz val="10.0"/>
      <color rgb="FF000000"/>
      <name val="Arial"/>
    </font>
    <font>
      <b/>
      <color rgb="FF000000"/>
      <name val="Arial"/>
    </font>
    <font>
      <b/>
    </font>
    <font>
      <color rgb="FF000000"/>
      <name val="Arial"/>
    </font>
    <font>
      <sz val="9.0"/>
      <color rgb="FF4B4F56"/>
      <name val="Helvetica"/>
    </font>
    <font>
      <color rgb="FFFFFFFF"/>
      <name val="Arial"/>
    </font>
    <font>
      <u/>
      <color rgb="FF0000FF"/>
      <name val="Arial"/>
    </font>
    <font>
      <sz val="11.0"/>
      <color rgb="FF000000"/>
      <name val="Arial"/>
    </font>
    <font/>
    <font>
      <sz val="10.0"/>
      <color rgb="FFFFFFFF"/>
      <name val="Arial"/>
    </font>
    <font>
      <name val="Arial"/>
    </font>
    <font>
      <sz val="9.0"/>
      <color rgb="FF000000"/>
      <name val="Helvetica"/>
    </font>
    <font>
      <color rgb="FF000000"/>
    </font>
    <font>
      <sz val="10.0"/>
      <name val="Arial"/>
    </font>
    <font>
      <sz val="11.0"/>
      <color rgb="FF000000"/>
      <name val="Whitney"/>
    </font>
    <font>
      <sz val="11.0"/>
      <color rgb="FFDCDDDE"/>
      <name val="Whitney"/>
    </font>
    <font>
      <u/>
      <color rgb="FF1155CC"/>
      <name val="Arial"/>
    </font>
    <font>
      <u/>
      <color rgb="FF1155CC"/>
      <name val="Arial"/>
    </font>
    <font>
      <color rgb="FF000000"/>
      <name val="Inherit"/>
    </font>
    <font>
      <sz val="11.0"/>
      <color rgb="FFFFFFFF"/>
      <name val="Whitney"/>
    </font>
    <font>
      <color rgb="FFFFFFFF"/>
      <name val="Inherit"/>
    </font>
    <font>
      <b/>
      <name val="Arial"/>
    </font>
    <font>
      <b/>
      <sz val="10.0"/>
      <color rgb="FF000000"/>
      <name val="Arial"/>
    </font>
    <font>
      <strike/>
      <name val="Arial"/>
    </font>
    <font>
      <sz val="11.0"/>
      <name val="Whitney"/>
    </font>
    <font>
      <sz val="11.0"/>
      <color rgb="FFFFFFFF"/>
      <name val="Arial"/>
    </font>
    <font>
      <b/>
      <sz val="24.0"/>
      <name val="Arial"/>
    </font>
    <font>
      <sz val="11.0"/>
      <color rgb="FF000000"/>
      <name val="Calibri"/>
    </font>
    <font>
      <u/>
      <sz val="11.0"/>
      <color rgb="FF000000"/>
      <name val="Calibri"/>
    </font>
    <font>
      <sz val="10.0"/>
    </font>
    <font>
      <color rgb="FFFFFFFF"/>
    </font>
    <font>
      <u/>
      <color rgb="FF0000FF"/>
    </font>
    <font>
      <u/>
      <color rgb="FF0000FF"/>
    </font>
    <font>
      <i/>
      <sz val="11.0"/>
      <color rgb="FF99AAB5"/>
      <name val="Whitney"/>
    </font>
    <font>
      <sz val="10.0"/>
      <color rgb="FF000000"/>
    </font>
    <font>
      <b/>
      <sz val="10.0"/>
      <color rgb="FF000000"/>
    </font>
    <font>
      <u/>
      <sz val="10.0"/>
    </font>
    <font>
      <u/>
      <sz val="10.0"/>
      <color rgb="FF0000FF"/>
    </font>
    <font>
      <sz val="9.0"/>
      <color rgb="FF373E4D"/>
    </font>
    <font>
      <u/>
      <sz val="10.0"/>
      <color rgb="FF0000FF"/>
    </font>
    <font>
      <sz val="10.0"/>
      <color rgb="FFFF11AB"/>
    </font>
    <font>
      <sz val="10.0"/>
      <color rgb="FFFF0000"/>
    </font>
    <font>
      <u/>
      <sz val="10.0"/>
      <color rgb="FF0000FF"/>
    </font>
    <font>
      <u/>
      <color rgb="FF0000FF"/>
    </font>
    <font>
      <u/>
      <sz val="10.0"/>
    </font>
    <font>
      <sz val="9.0"/>
      <color rgb="FF373E4D"/>
      <name val="Helvetica"/>
    </font>
    <font>
      <b/>
      <sz val="11.0"/>
      <color rgb="FFFF6600"/>
      <name val="Georgia"/>
    </font>
    <font>
      <u/>
      <sz val="10.0"/>
      <color rgb="FF0000FF"/>
    </font>
    <font>
      <sz val="8.0"/>
      <color rgb="FF333333"/>
      <name val="Verdana"/>
    </font>
  </fonts>
  <fills count="5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F4F4F4"/>
        <bgColor rgb="FFF4F4F4"/>
      </patternFill>
    </fill>
    <fill>
      <patternFill patternType="solid">
        <fgColor rgb="FFA6A6A6"/>
        <bgColor rgb="FFA6A6A6"/>
      </patternFill>
    </fill>
    <fill>
      <patternFill patternType="solid">
        <fgColor rgb="FFE5E5E5"/>
        <bgColor rgb="FFE5E5E5"/>
      </patternFill>
    </fill>
    <fill>
      <patternFill patternType="solid">
        <fgColor rgb="FFB2B2B2"/>
        <bgColor rgb="FFB2B2B2"/>
      </patternFill>
    </fill>
    <fill>
      <patternFill patternType="solid">
        <fgColor rgb="FFBFBFBF"/>
        <bgColor rgb="FFBFBFBF"/>
      </patternFill>
    </fill>
    <fill>
      <patternFill patternType="solid">
        <fgColor rgb="FF808080"/>
        <bgColor rgb="FF808080"/>
      </patternFill>
    </fill>
    <fill>
      <patternFill patternType="solid">
        <fgColor rgb="FFBBBBBB"/>
        <bgColor rgb="FFBBBBBB"/>
      </patternFill>
    </fill>
    <fill>
      <patternFill patternType="solid">
        <fgColor rgb="FF404040"/>
        <bgColor rgb="FF404040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36393F"/>
        <bgColor rgb="FF36393F"/>
      </patternFill>
    </fill>
    <fill>
      <patternFill patternType="solid">
        <fgColor rgb="FFD0E0E3"/>
        <bgColor rgb="FFD0E0E3"/>
      </patternFill>
    </fill>
    <fill>
      <patternFill patternType="solid">
        <fgColor rgb="FF0000FF"/>
        <bgColor rgb="FF0000FF"/>
      </patternFill>
    </fill>
    <fill>
      <patternFill patternType="solid">
        <fgColor rgb="FF36393E"/>
        <bgColor rgb="FF36393E"/>
      </patternFill>
    </fill>
    <fill>
      <patternFill patternType="solid">
        <fgColor rgb="FFB6D7A8"/>
        <bgColor rgb="FFB6D7A8"/>
      </patternFill>
    </fill>
    <fill>
      <patternFill patternType="solid">
        <fgColor rgb="FFF1F0F0"/>
        <bgColor rgb="FFF1F0F0"/>
      </patternFill>
    </fill>
    <fill>
      <patternFill patternType="solid">
        <fgColor rgb="FFE7E6E6"/>
        <bgColor rgb="FFE7E6E6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741B47"/>
        <bgColor rgb="FF741B47"/>
      </patternFill>
    </fill>
    <fill>
      <patternFill patternType="solid">
        <fgColor rgb="FFF6B26B"/>
        <bgColor rgb="FFF6B26B"/>
      </patternFill>
    </fill>
    <fill>
      <patternFill patternType="solid">
        <fgColor rgb="FF38761D"/>
        <bgColor rgb="FF38761D"/>
      </patternFill>
    </fill>
    <fill>
      <patternFill patternType="solid">
        <fgColor rgb="FF85200C"/>
        <bgColor rgb="FF85200C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AEAEAE"/>
        <bgColor rgb="FFAEAEAE"/>
      </patternFill>
    </fill>
    <fill>
      <patternFill patternType="solid">
        <fgColor rgb="FFF6F7F8"/>
        <bgColor rgb="FFF6F7F8"/>
      </patternFill>
    </fill>
    <fill>
      <patternFill patternType="solid">
        <fgColor rgb="FFF3F3F3"/>
        <bgColor rgb="FFF3F3F3"/>
      </patternFill>
    </fill>
    <fill>
      <patternFill patternType="solid">
        <fgColor rgb="FFE0EDFF"/>
        <bgColor rgb="FFE0EDFF"/>
      </patternFill>
    </fill>
    <fill>
      <patternFill patternType="solid">
        <fgColor rgb="FFFEFEFE"/>
        <bgColor rgb="FFFEFEFE"/>
      </patternFill>
    </fill>
    <fill>
      <patternFill patternType="solid">
        <fgColor rgb="FFE1EAF7"/>
        <bgColor rgb="FFE1EAF7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CCCCCC"/>
      </bottom>
    </border>
    <border>
      <right style="thin">
        <color rgb="FFCCCCCC"/>
      </right>
    </border>
    <border>
      <right style="thin">
        <color rgb="FFCCCCCC"/>
      </right>
      <bottom style="thin">
        <color rgb="FFCCCCCC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/>
      <top/>
      <bottom/>
    </border>
    <border>
      <right/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</borders>
  <cellStyleXfs count="1">
    <xf borderId="0" fillId="0" fontId="0" numFmtId="0" applyAlignment="1" applyFont="1"/>
  </cellStyleXfs>
  <cellXfs count="5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0" fontId="0" numFmtId="0" xfId="0" applyAlignment="1" applyFont="1">
      <alignment shrinkToFit="0" wrapText="0"/>
    </xf>
    <xf borderId="1" fillId="3" fontId="3" numFmtId="0" xfId="0" applyAlignment="1" applyBorder="1" applyFill="1" applyFont="1">
      <alignment horizontal="left" readingOrder="0" shrinkToFit="0" vertical="bottom" wrapText="0"/>
    </xf>
    <xf borderId="1" fillId="4" fontId="4" numFmtId="0" xfId="0" applyAlignment="1" applyBorder="1" applyFill="1" applyFont="1">
      <alignment horizontal="left" readingOrder="0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vertical="bottom"/>
    </xf>
    <xf borderId="1" fillId="5" fontId="3" numFmtId="0" xfId="0" applyAlignment="1" applyBorder="1" applyFill="1" applyFont="1">
      <alignment horizontal="left" readingOrder="0" shrinkToFit="0" vertical="bottom" wrapText="0"/>
    </xf>
    <xf borderId="1" fillId="5" fontId="3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1" fillId="3" fontId="5" numFmtId="0" xfId="0" applyAlignment="1" applyBorder="1" applyFont="1">
      <alignment horizontal="left" readingOrder="0" shrinkToFit="0" vertical="bottom" wrapText="0"/>
    </xf>
    <xf borderId="1" fillId="5" fontId="6" numFmtId="0" xfId="0" applyAlignment="1" applyBorder="1" applyFont="1">
      <alignment horizontal="left" readingOrder="0" shrinkToFit="0" vertical="bottom" wrapText="0"/>
    </xf>
    <xf borderId="1" fillId="6" fontId="3" numFmtId="0" xfId="0" applyAlignment="1" applyBorder="1" applyFill="1" applyFont="1">
      <alignment horizontal="left" readingOrder="0" shrinkToFit="0" vertical="bottom" wrapText="0"/>
    </xf>
    <xf borderId="1" fillId="7" fontId="3" numFmtId="0" xfId="0" applyAlignment="1" applyBorder="1" applyFill="1" applyFont="1">
      <alignment horizontal="left" readingOrder="0" shrinkToFit="0" vertical="bottom" wrapText="0"/>
    </xf>
    <xf borderId="1" fillId="8" fontId="3" numFmtId="0" xfId="0" applyAlignment="1" applyBorder="1" applyFill="1" applyFont="1">
      <alignment horizontal="left" readingOrder="0" shrinkToFit="0" vertical="bottom" wrapText="0"/>
    </xf>
    <xf borderId="1" fillId="9" fontId="3" numFmtId="0" xfId="0" applyAlignment="1" applyBorder="1" applyFill="1" applyFont="1">
      <alignment horizontal="left" readingOrder="0" shrinkToFit="0" vertical="bottom" wrapText="0"/>
    </xf>
    <xf borderId="1" fillId="2" fontId="7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readingOrder="0"/>
    </xf>
    <xf borderId="1" fillId="2" fontId="3" numFmtId="0" xfId="0" applyAlignment="1" applyBorder="1" applyFont="1">
      <alignment horizontal="left" shrinkToFit="0" vertical="bottom" wrapText="0"/>
    </xf>
    <xf borderId="1" fillId="10" fontId="3" numFmtId="0" xfId="0" applyAlignment="1" applyBorder="1" applyFill="1" applyFont="1">
      <alignment horizontal="left" shrinkToFit="0" vertical="bottom" wrapText="0"/>
    </xf>
    <xf borderId="1" fillId="5" fontId="3" numFmtId="0" xfId="0" applyAlignment="1" applyBorder="1" applyFont="1">
      <alignment horizontal="left" readingOrder="0" shrinkToFit="0" vertical="bottom" wrapText="0"/>
    </xf>
    <xf borderId="1" fillId="10" fontId="3" numFmtId="0" xfId="0" applyAlignment="1" applyBorder="1" applyFont="1">
      <alignment horizontal="left" shrinkToFit="0" vertical="bottom" wrapText="0"/>
    </xf>
    <xf borderId="1" fillId="3" fontId="3" numFmtId="0" xfId="0" applyAlignment="1" applyBorder="1" applyFont="1">
      <alignment horizontal="left" readingOrder="0" shrinkToFit="0" vertical="bottom" wrapText="0"/>
    </xf>
    <xf borderId="1" fillId="11" fontId="3" numFmtId="0" xfId="0" applyAlignment="1" applyBorder="1" applyFill="1" applyFont="1">
      <alignment horizontal="left" shrinkToFit="0" vertical="bottom" wrapText="0"/>
    </xf>
    <xf borderId="1" fillId="12" fontId="9" numFmtId="0" xfId="0" applyAlignment="1" applyBorder="1" applyFill="1" applyFont="1">
      <alignment readingOrder="0" vertical="bottom"/>
    </xf>
    <xf borderId="1" fillId="13" fontId="10" numFmtId="0" xfId="0" applyAlignment="1" applyBorder="1" applyFill="1" applyFont="1">
      <alignment readingOrder="0" vertical="bottom"/>
    </xf>
    <xf borderId="1" fillId="14" fontId="10" numFmtId="0" xfId="0" applyAlignment="1" applyBorder="1" applyFill="1" applyFont="1">
      <alignment vertical="bottom"/>
    </xf>
    <xf borderId="1" fillId="15" fontId="10" numFmtId="0" xfId="0" applyAlignment="1" applyBorder="1" applyFill="1" applyFont="1">
      <alignment vertical="bottom"/>
    </xf>
    <xf borderId="1" fillId="16" fontId="10" numFmtId="0" xfId="0" applyAlignment="1" applyBorder="1" applyFill="1" applyFont="1">
      <alignment readingOrder="0" vertical="bottom"/>
    </xf>
    <xf borderId="1" fillId="17" fontId="10" numFmtId="0" xfId="0" applyAlignment="1" applyBorder="1" applyFill="1" applyFont="1">
      <alignment vertical="bottom"/>
    </xf>
    <xf borderId="2" fillId="18" fontId="5" numFmtId="0" xfId="0" applyAlignment="1" applyBorder="1" applyFill="1" applyFont="1">
      <alignment vertical="bottom"/>
    </xf>
    <xf borderId="1" fillId="19" fontId="3" numFmtId="0" xfId="0" applyAlignment="1" applyBorder="1" applyFill="1" applyFont="1">
      <alignment readingOrder="0" vertical="bottom"/>
    </xf>
    <xf borderId="1" fillId="20" fontId="3" numFmtId="0" xfId="0" applyAlignment="1" applyBorder="1" applyFill="1" applyFont="1">
      <alignment readingOrder="0" vertical="bottom"/>
    </xf>
    <xf borderId="1" fillId="21" fontId="3" numFmtId="0" xfId="0" applyAlignment="1" applyBorder="1" applyFill="1" applyFont="1">
      <alignment readingOrder="0" vertical="bottom"/>
    </xf>
    <xf borderId="1" fillId="22" fontId="3" numFmtId="0" xfId="0" applyAlignment="1" applyBorder="1" applyFill="1" applyFont="1">
      <alignment readingOrder="0" vertical="bottom"/>
    </xf>
    <xf borderId="1" fillId="23" fontId="3" numFmtId="0" xfId="0" applyAlignment="1" applyBorder="1" applyFill="1" applyFont="1">
      <alignment horizontal="left" readingOrder="0" vertical="bottom"/>
    </xf>
    <xf borderId="1" fillId="24" fontId="3" numFmtId="0" xfId="0" applyAlignment="1" applyBorder="1" applyFill="1" applyFont="1">
      <alignment vertical="bottom"/>
    </xf>
    <xf borderId="3" fillId="25" fontId="10" numFmtId="0" xfId="0" applyAlignment="1" applyBorder="1" applyFill="1" applyFont="1">
      <alignment readingOrder="0" vertical="bottom"/>
    </xf>
    <xf borderId="1" fillId="19" fontId="0" numFmtId="0" xfId="0" applyAlignment="1" applyBorder="1" applyFont="1">
      <alignment shrinkToFit="0" wrapText="0"/>
    </xf>
    <xf borderId="1" fillId="20" fontId="0" numFmtId="0" xfId="0" applyAlignment="1" applyBorder="1" applyFont="1">
      <alignment readingOrder="0" shrinkToFit="0" wrapText="0"/>
    </xf>
    <xf borderId="1" fillId="21" fontId="0" numFmtId="0" xfId="0" applyAlignment="1" applyBorder="1" applyFont="1">
      <alignment shrinkToFit="0" wrapText="0"/>
    </xf>
    <xf borderId="1" fillId="4" fontId="11" numFmtId="0" xfId="0" applyAlignment="1" applyBorder="1" applyFont="1">
      <alignment horizontal="left" readingOrder="0" shrinkToFit="0" vertical="bottom" wrapText="0"/>
    </xf>
    <xf borderId="1" fillId="23" fontId="0" numFmtId="0" xfId="0" applyAlignment="1" applyBorder="1" applyFont="1">
      <alignment shrinkToFit="0" wrapText="0"/>
    </xf>
    <xf borderId="1" fillId="24" fontId="3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1" fillId="20" fontId="0" numFmtId="0" xfId="0" applyAlignment="1" applyBorder="1" applyFont="1">
      <alignment shrinkToFit="0" wrapText="0"/>
    </xf>
    <xf borderId="1" fillId="22" fontId="0" numFmtId="0" xfId="0" applyAlignment="1" applyBorder="1" applyFont="1">
      <alignment shrinkToFit="0" wrapText="0"/>
    </xf>
    <xf borderId="1" fillId="15" fontId="0" numFmtId="0" xfId="0" applyAlignment="1" applyBorder="1" applyFont="1">
      <alignment readingOrder="0" shrinkToFit="0" wrapText="0"/>
    </xf>
    <xf borderId="1" fillId="15" fontId="3" numFmtId="0" xfId="0" applyAlignment="1" applyBorder="1" applyFont="1">
      <alignment readingOrder="0" vertical="bottom"/>
    </xf>
    <xf borderId="3" fillId="15" fontId="10" numFmtId="0" xfId="0" applyAlignment="1" applyBorder="1" applyFont="1">
      <alignment readingOrder="0" vertical="bottom"/>
    </xf>
    <xf borderId="0" fillId="15" fontId="8" numFmtId="0" xfId="0" applyAlignment="1" applyFont="1">
      <alignment readingOrder="0"/>
    </xf>
    <xf borderId="1" fillId="21" fontId="0" numFmtId="0" xfId="0" applyAlignment="1" applyBorder="1" applyFont="1">
      <alignment readingOrder="0" shrinkToFit="0" wrapText="0"/>
    </xf>
    <xf borderId="1" fillId="19" fontId="3" numFmtId="0" xfId="0" applyAlignment="1" applyBorder="1" applyFont="1">
      <alignment vertical="bottom"/>
    </xf>
    <xf borderId="1" fillId="21" fontId="3" numFmtId="0" xfId="0" applyAlignment="1" applyBorder="1" applyFont="1">
      <alignment vertical="bottom"/>
    </xf>
    <xf borderId="1" fillId="22" fontId="3" numFmtId="0" xfId="0" applyAlignment="1" applyBorder="1" applyFont="1">
      <alignment vertical="bottom"/>
    </xf>
    <xf borderId="1" fillId="23" fontId="3" numFmtId="0" xfId="0" applyAlignment="1" applyBorder="1" applyFont="1">
      <alignment horizontal="left" vertical="bottom"/>
    </xf>
    <xf borderId="1" fillId="15" fontId="3" numFmtId="0" xfId="0" applyAlignment="1" applyBorder="1" applyFont="1">
      <alignment readingOrder="0"/>
    </xf>
    <xf borderId="1" fillId="15" fontId="3" numFmtId="0" xfId="0" applyAlignment="1" applyBorder="1" applyFont="1">
      <alignment horizontal="right" readingOrder="0" vertical="bottom"/>
    </xf>
    <xf borderId="1" fillId="15" fontId="3" numFmtId="0" xfId="0" applyAlignment="1" applyBorder="1" applyFont="1">
      <alignment vertical="bottom"/>
    </xf>
    <xf borderId="1" fillId="24" fontId="3" numFmtId="3" xfId="0" applyAlignment="1" applyBorder="1" applyFont="1" applyNumberFormat="1">
      <alignment readingOrder="0" vertical="bottom"/>
    </xf>
    <xf borderId="1" fillId="23" fontId="0" numFmtId="0" xfId="0" applyAlignment="1" applyBorder="1" applyFont="1">
      <alignment readingOrder="0" shrinkToFit="0" wrapText="0"/>
    </xf>
    <xf borderId="1" fillId="21" fontId="7" numFmtId="0" xfId="0" applyAlignment="1" applyBorder="1" applyFont="1">
      <alignment shrinkToFit="0" wrapText="0"/>
    </xf>
    <xf borderId="1" fillId="20" fontId="3" numFmtId="0" xfId="0" applyAlignment="1" applyBorder="1" applyFont="1">
      <alignment vertical="bottom"/>
    </xf>
    <xf borderId="1" fillId="19" fontId="0" numFmtId="0" xfId="0" applyAlignment="1" applyBorder="1" applyFont="1">
      <alignment readingOrder="0" shrinkToFit="0" wrapText="0"/>
    </xf>
    <xf borderId="1" fillId="21" fontId="12" numFmtId="0" xfId="0" applyAlignment="1" applyBorder="1" applyFont="1">
      <alignment readingOrder="0"/>
    </xf>
    <xf borderId="1" fillId="22" fontId="12" numFmtId="0" xfId="0" applyAlignment="1" applyBorder="1" applyFont="1">
      <alignment readingOrder="0"/>
    </xf>
    <xf borderId="1" fillId="21" fontId="3" numFmtId="0" xfId="0" applyAlignment="1" applyBorder="1" applyFont="1">
      <alignment readingOrder="0"/>
    </xf>
    <xf borderId="1" fillId="22" fontId="3" numFmtId="0" xfId="0" applyAlignment="1" applyBorder="1" applyFont="1">
      <alignment readingOrder="0"/>
    </xf>
    <xf borderId="4" fillId="19" fontId="10" numFmtId="0" xfId="0" applyAlignment="1" applyBorder="1" applyFont="1">
      <alignment readingOrder="0" vertical="bottom"/>
    </xf>
    <xf borderId="3" fillId="20" fontId="10" numFmtId="0" xfId="0" applyAlignment="1" applyBorder="1" applyFont="1">
      <alignment readingOrder="0" vertical="bottom"/>
    </xf>
    <xf borderId="3" fillId="23" fontId="10" numFmtId="0" xfId="0" applyAlignment="1" applyBorder="1" applyFont="1">
      <alignment horizontal="right" vertical="bottom"/>
    </xf>
    <xf borderId="3" fillId="24" fontId="10" numFmtId="0" xfId="0" applyAlignment="1" applyBorder="1" applyFont="1">
      <alignment vertical="bottom"/>
    </xf>
    <xf borderId="3" fillId="25" fontId="10" numFmtId="0" xfId="0" applyAlignment="1" applyBorder="1" applyFont="1">
      <alignment vertical="bottom"/>
    </xf>
    <xf borderId="4" fillId="19" fontId="10" numFmtId="0" xfId="0" applyAlignment="1" applyBorder="1" applyFont="1">
      <alignment vertical="bottom"/>
    </xf>
    <xf borderId="3" fillId="20" fontId="10" numFmtId="0" xfId="0" applyAlignment="1" applyBorder="1" applyFont="1">
      <alignment vertical="bottom"/>
    </xf>
    <xf borderId="3" fillId="21" fontId="10" numFmtId="0" xfId="0" applyAlignment="1" applyBorder="1" applyFont="1">
      <alignment vertical="bottom"/>
    </xf>
    <xf borderId="3" fillId="22" fontId="10" numFmtId="0" xfId="0" applyAlignment="1" applyBorder="1" applyFont="1">
      <alignment vertical="bottom"/>
    </xf>
    <xf borderId="3" fillId="25" fontId="10" numFmtId="164" xfId="0" applyAlignment="1" applyBorder="1" applyFont="1" applyNumberFormat="1">
      <alignment horizontal="right" vertical="bottom"/>
    </xf>
    <xf borderId="3" fillId="12" fontId="5" numFmtId="0" xfId="0" applyAlignment="1" applyBorder="1" applyFont="1">
      <alignment readingOrder="0" vertical="bottom"/>
    </xf>
    <xf borderId="2" fillId="13" fontId="10" numFmtId="0" xfId="0" applyAlignment="1" applyBorder="1" applyFont="1">
      <alignment vertical="bottom"/>
    </xf>
    <xf borderId="5" fillId="14" fontId="3" numFmtId="0" xfId="0" applyAlignment="1" applyBorder="1" applyFont="1">
      <alignment vertical="bottom"/>
    </xf>
    <xf borderId="2" fillId="0" fontId="8" numFmtId="0" xfId="0" applyBorder="1" applyFont="1"/>
    <xf borderId="2" fillId="15" fontId="10" numFmtId="0" xfId="0" applyAlignment="1" applyBorder="1" applyFont="1">
      <alignment vertical="bottom"/>
    </xf>
    <xf borderId="2" fillId="17" fontId="10" numFmtId="0" xfId="0" applyAlignment="1" applyBorder="1" applyFont="1">
      <alignment vertical="bottom"/>
    </xf>
    <xf borderId="2" fillId="16" fontId="10" numFmtId="0" xfId="0" applyAlignment="1" applyBorder="1" applyFont="1">
      <alignment vertical="bottom"/>
    </xf>
    <xf borderId="4" fillId="19" fontId="10" numFmtId="3" xfId="0" applyAlignment="1" applyBorder="1" applyFont="1" applyNumberFormat="1">
      <alignment readingOrder="0" vertical="bottom"/>
    </xf>
    <xf borderId="1" fillId="21" fontId="8" numFmtId="0" xfId="0" applyBorder="1" applyFont="1"/>
    <xf borderId="1" fillId="22" fontId="0" numFmtId="0" xfId="0" applyAlignment="1" applyBorder="1" applyFont="1">
      <alignment vertical="bottom"/>
    </xf>
    <xf borderId="3" fillId="25" fontId="10" numFmtId="0" xfId="0" applyAlignment="1" applyBorder="1" applyFont="1">
      <alignment vertical="bottom"/>
    </xf>
    <xf borderId="1" fillId="21" fontId="13" numFmtId="0" xfId="0" applyAlignment="1" applyBorder="1" applyFont="1">
      <alignment shrinkToFit="0" wrapText="0"/>
    </xf>
    <xf borderId="0" fillId="2" fontId="8" numFmtId="0" xfId="0" applyFont="1"/>
    <xf borderId="0" fillId="25" fontId="10" numFmtId="0" xfId="0" applyAlignment="1" applyFont="1">
      <alignment vertical="bottom"/>
    </xf>
    <xf borderId="0" fillId="0" fontId="8" numFmtId="3" xfId="0" applyAlignment="1" applyFont="1" applyNumberFormat="1">
      <alignment readingOrder="0"/>
    </xf>
    <xf borderId="1" fillId="20" fontId="3" numFmtId="0" xfId="0" applyAlignment="1" applyBorder="1" applyFont="1">
      <alignment readingOrder="0" vertical="bottom"/>
    </xf>
    <xf borderId="0" fillId="21" fontId="7" numFmtId="0" xfId="0" applyAlignment="1" applyFont="1">
      <alignment readingOrder="0"/>
    </xf>
    <xf borderId="1" fillId="22" fontId="14" numFmtId="49" xfId="0" applyAlignment="1" applyBorder="1" applyFont="1" applyNumberFormat="1">
      <alignment readingOrder="0"/>
    </xf>
    <xf borderId="0" fillId="25" fontId="3" numFmtId="49" xfId="0" applyAlignment="1" applyFont="1" applyNumberFormat="1">
      <alignment vertical="bottom"/>
    </xf>
    <xf borderId="1" fillId="20" fontId="10" numFmtId="0" xfId="0" applyAlignment="1" applyBorder="1" applyFont="1">
      <alignment vertical="bottom"/>
    </xf>
    <xf borderId="6" fillId="21" fontId="3" numFmtId="0" xfId="0" applyAlignment="1" applyBorder="1" applyFont="1">
      <alignment vertical="bottom"/>
    </xf>
    <xf borderId="5" fillId="0" fontId="8" numFmtId="0" xfId="0" applyBorder="1" applyFont="1"/>
    <xf borderId="1" fillId="22" fontId="13" numFmtId="0" xfId="0" applyAlignment="1" applyBorder="1" applyFont="1">
      <alignment vertical="bottom"/>
    </xf>
    <xf borderId="1" fillId="22" fontId="0" numFmtId="0" xfId="0" applyAlignment="1" applyBorder="1" applyFont="1">
      <alignment readingOrder="0"/>
    </xf>
    <xf borderId="1" fillId="20" fontId="3" numFmtId="0" xfId="0" applyAlignment="1" applyBorder="1" applyFont="1">
      <alignment vertical="bottom"/>
    </xf>
    <xf borderId="1" fillId="21" fontId="3" numFmtId="0" xfId="0" applyAlignment="1" applyBorder="1" applyFont="1">
      <alignment vertical="bottom"/>
    </xf>
    <xf borderId="0" fillId="26" fontId="15" numFmtId="0" xfId="0" applyAlignment="1" applyFill="1" applyFont="1">
      <alignment readingOrder="0"/>
    </xf>
    <xf borderId="1" fillId="21" fontId="10" numFmtId="0" xfId="0" applyAlignment="1" applyBorder="1" applyFont="1">
      <alignment vertical="bottom"/>
    </xf>
    <xf borderId="1" fillId="20" fontId="8" numFmtId="0" xfId="0" applyAlignment="1" applyBorder="1" applyFont="1">
      <alignment readingOrder="0"/>
    </xf>
    <xf borderId="1" fillId="21" fontId="10" numFmtId="0" xfId="0" applyAlignment="1" applyBorder="1" applyFont="1">
      <alignment readingOrder="0" vertical="bottom"/>
    </xf>
    <xf borderId="1" fillId="22" fontId="10" numFmtId="0" xfId="0" applyAlignment="1" applyBorder="1" applyFont="1">
      <alignment readingOrder="0" vertical="bottom"/>
    </xf>
    <xf borderId="6" fillId="27" fontId="3" numFmtId="0" xfId="0" applyAlignment="1" applyBorder="1" applyFill="1" applyFont="1">
      <alignment shrinkToFit="0" vertical="bottom" wrapText="0"/>
    </xf>
    <xf borderId="1" fillId="22" fontId="3" numFmtId="0" xfId="0" applyAlignment="1" applyBorder="1" applyFont="1">
      <alignment shrinkToFit="0" vertical="bottom" wrapText="0"/>
    </xf>
    <xf borderId="6" fillId="27" fontId="10" numFmtId="0" xfId="0" applyAlignment="1" applyBorder="1" applyFont="1">
      <alignment vertical="bottom"/>
    </xf>
    <xf borderId="2" fillId="22" fontId="10" numFmtId="0" xfId="0" applyAlignment="1" applyBorder="1" applyFont="1">
      <alignment vertical="bottom"/>
    </xf>
    <xf borderId="0" fillId="27" fontId="3" numFmtId="0" xfId="0" applyAlignment="1" applyFont="1">
      <alignment vertical="bottom"/>
    </xf>
    <xf borderId="6" fillId="27" fontId="0" numFmtId="0" xfId="0" applyAlignment="1" applyBorder="1" applyFont="1">
      <alignment readingOrder="0" shrinkToFit="0" wrapText="0"/>
    </xf>
    <xf borderId="1" fillId="22" fontId="0" numFmtId="0" xfId="0" applyAlignment="1" applyBorder="1" applyFont="1">
      <alignment readingOrder="0" shrinkToFit="0" wrapText="0"/>
    </xf>
    <xf borderId="0" fillId="27" fontId="3" numFmtId="0" xfId="0" applyAlignment="1" applyFont="1">
      <alignment vertical="bottom"/>
    </xf>
    <xf borderId="6" fillId="27" fontId="0" numFmtId="0" xfId="0" applyAlignment="1" applyBorder="1" applyFont="1">
      <alignment shrinkToFit="0" wrapText="0"/>
    </xf>
    <xf borderId="4" fillId="19" fontId="10" numFmtId="3" xfId="0" applyAlignment="1" applyBorder="1" applyFont="1" applyNumberFormat="1">
      <alignment horizontal="right" readingOrder="0" vertical="bottom"/>
    </xf>
    <xf borderId="1" fillId="27" fontId="0" numFmtId="0" xfId="0" applyAlignment="1" applyBorder="1" applyFont="1">
      <alignment shrinkToFit="0" wrapText="0"/>
    </xf>
    <xf borderId="1" fillId="27" fontId="8" numFmtId="0" xfId="0" applyBorder="1" applyFont="1"/>
    <xf borderId="1" fillId="27" fontId="0" numFmtId="0" xfId="0" applyAlignment="1" applyBorder="1" applyFont="1">
      <alignment readingOrder="0" shrinkToFit="0" wrapText="0"/>
    </xf>
    <xf borderId="1" fillId="27" fontId="3" numFmtId="0" xfId="0" applyAlignment="1" applyBorder="1" applyFont="1">
      <alignment vertical="bottom"/>
    </xf>
    <xf borderId="6" fillId="27" fontId="3" numFmtId="0" xfId="0" applyAlignment="1" applyBorder="1" applyFont="1">
      <alignment readingOrder="0" shrinkToFit="0" vertical="bottom" wrapText="0"/>
    </xf>
    <xf borderId="1" fillId="22" fontId="3" numFmtId="0" xfId="0" applyAlignment="1" applyBorder="1" applyFont="1">
      <alignment readingOrder="0" shrinkToFit="0" vertical="bottom" wrapText="0"/>
    </xf>
    <xf borderId="7" fillId="19" fontId="10" numFmtId="3" xfId="0" applyAlignment="1" applyBorder="1" applyFont="1" applyNumberFormat="1">
      <alignment readingOrder="0" vertical="bottom"/>
    </xf>
    <xf borderId="8" fillId="20" fontId="8" numFmtId="0" xfId="0" applyAlignment="1" applyBorder="1" applyFont="1">
      <alignment readingOrder="0"/>
    </xf>
    <xf borderId="9" fillId="27" fontId="3" numFmtId="0" xfId="0" applyAlignment="1" applyBorder="1" applyFont="1">
      <alignment shrinkToFit="0" vertical="bottom" wrapText="0"/>
    </xf>
    <xf borderId="10" fillId="0" fontId="8" numFmtId="0" xfId="0" applyBorder="1" applyFont="1"/>
    <xf borderId="8" fillId="22" fontId="3" numFmtId="0" xfId="0" applyAlignment="1" applyBorder="1" applyFont="1">
      <alignment shrinkToFit="0" vertical="bottom" wrapText="0"/>
    </xf>
    <xf borderId="0" fillId="0" fontId="10" numFmtId="3" xfId="0" applyAlignment="1" applyFont="1" applyNumberFormat="1">
      <alignment readingOrder="0" vertical="bottom"/>
    </xf>
    <xf borderId="0" fillId="0" fontId="3" numFmtId="0" xfId="0" applyAlignment="1" applyFont="1">
      <alignment shrinkToFit="0" vertical="bottom" wrapText="0"/>
    </xf>
    <xf borderId="1" fillId="12" fontId="5" numFmtId="0" xfId="0" applyAlignment="1" applyBorder="1" applyFont="1">
      <alignment readingOrder="0" vertical="bottom"/>
    </xf>
    <xf borderId="2" fillId="13" fontId="3" numFmtId="0" xfId="0" applyAlignment="1" applyBorder="1" applyFont="1">
      <alignment vertical="bottom"/>
    </xf>
    <xf borderId="2" fillId="14" fontId="10" numFmtId="0" xfId="0" applyAlignment="1" applyBorder="1" applyFont="1">
      <alignment vertical="bottom"/>
    </xf>
    <xf borderId="2" fillId="16" fontId="10" numFmtId="0" xfId="0" applyAlignment="1" applyBorder="1" applyFont="1">
      <alignment vertical="bottom"/>
    </xf>
    <xf borderId="2" fillId="0" fontId="16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0" fillId="19" fontId="3" numFmtId="0" xfId="0" applyAlignment="1" applyFont="1">
      <alignment shrinkToFit="0" vertical="bottom" wrapText="0"/>
    </xf>
    <xf borderId="0" fillId="20" fontId="3" numFmtId="0" xfId="0" applyAlignment="1" applyFont="1">
      <alignment readingOrder="0" shrinkToFit="0" vertical="bottom" wrapText="0"/>
    </xf>
    <xf borderId="0" fillId="27" fontId="3" numFmtId="0" xfId="0" applyAlignment="1" applyFont="1">
      <alignment shrinkToFit="0" vertical="bottom" wrapText="0"/>
    </xf>
    <xf borderId="0" fillId="22" fontId="3" numFmtId="0" xfId="0" applyAlignment="1" applyFont="1">
      <alignment shrinkToFit="0" vertical="bottom" wrapText="0"/>
    </xf>
    <xf borderId="0" fillId="19" fontId="3" numFmtId="0" xfId="0" applyAlignment="1" applyFont="1">
      <alignment vertical="bottom"/>
    </xf>
    <xf borderId="0" fillId="20" fontId="3" numFmtId="0" xfId="0" applyAlignment="1" applyFont="1">
      <alignment vertical="bottom"/>
    </xf>
    <xf borderId="0" fillId="27" fontId="3" numFmtId="0" xfId="0" applyAlignment="1" applyFont="1">
      <alignment vertical="bottom"/>
    </xf>
    <xf borderId="0" fillId="22" fontId="11" numFmtId="0" xfId="0" applyAlignment="1" applyFont="1">
      <alignment shrinkToFit="0" vertical="bottom" wrapText="0"/>
    </xf>
    <xf borderId="0" fillId="25" fontId="3" numFmtId="0" xfId="0" applyAlignment="1" applyFont="1">
      <alignment vertical="bottom"/>
    </xf>
    <xf borderId="0" fillId="19" fontId="3" numFmtId="0" xfId="0" applyAlignment="1" applyFont="1">
      <alignment readingOrder="0" shrinkToFit="0" vertical="bottom" wrapText="0"/>
    </xf>
    <xf borderId="0" fillId="25" fontId="8" numFmtId="0" xfId="0" applyFont="1"/>
    <xf borderId="0" fillId="20" fontId="3" numFmtId="0" xfId="0" applyAlignment="1" applyFont="1">
      <alignment shrinkToFit="0" vertical="bottom" wrapText="0"/>
    </xf>
    <xf borderId="0" fillId="22" fontId="3" numFmtId="0" xfId="0" applyAlignment="1" applyFont="1">
      <alignment vertical="bottom"/>
    </xf>
    <xf borderId="0" fillId="19" fontId="3" numFmtId="0" xfId="0" applyAlignment="1" applyFont="1">
      <alignment readingOrder="0" shrinkToFit="0" vertical="bottom" wrapText="0"/>
    </xf>
    <xf borderId="0" fillId="20" fontId="10" numFmtId="0" xfId="0" applyAlignment="1" applyFont="1">
      <alignment vertical="bottom"/>
    </xf>
    <xf borderId="0" fillId="27" fontId="3" numFmtId="0" xfId="0" applyAlignment="1" applyFont="1">
      <alignment shrinkToFit="0" vertical="bottom" wrapText="0"/>
    </xf>
    <xf borderId="0" fillId="22" fontId="3" numFmtId="0" xfId="0" applyAlignment="1" applyFont="1">
      <alignment shrinkToFit="0" vertical="bottom" wrapText="0"/>
    </xf>
    <xf borderId="0" fillId="25" fontId="10" numFmtId="0" xfId="0" applyAlignment="1" applyFont="1">
      <alignment readingOrder="0" vertical="bottom"/>
    </xf>
    <xf borderId="0" fillId="19" fontId="3" numFmtId="0" xfId="0" applyAlignment="1" applyFont="1">
      <alignment vertical="bottom"/>
    </xf>
    <xf borderId="0" fillId="20" fontId="3" numFmtId="0" xfId="0" applyAlignment="1" applyFont="1">
      <alignment readingOrder="0" vertical="bottom"/>
    </xf>
    <xf borderId="0" fillId="20" fontId="3" numFmtId="0" xfId="0" applyAlignment="1" applyFont="1">
      <alignment horizontal="left" readingOrder="0"/>
    </xf>
    <xf borderId="0" fillId="22" fontId="3" numFmtId="0" xfId="0" applyAlignment="1" applyFont="1">
      <alignment vertical="bottom"/>
    </xf>
    <xf borderId="0" fillId="25" fontId="10" numFmtId="0" xfId="0" applyAlignment="1" applyFont="1">
      <alignment readingOrder="0" vertical="bottom"/>
    </xf>
    <xf borderId="0" fillId="27" fontId="3" numFmtId="0" xfId="0" applyAlignment="1" applyFont="1">
      <alignment shrinkToFit="0" vertical="bottom" wrapText="0"/>
    </xf>
    <xf borderId="0" fillId="22" fontId="3" numFmtId="0" xfId="0" applyAlignment="1" applyFont="1">
      <alignment shrinkToFit="0" vertical="bottom" wrapText="0"/>
    </xf>
    <xf borderId="0" fillId="22" fontId="3" numFmtId="0" xfId="0" applyAlignment="1" applyFont="1">
      <alignment readingOrder="0" vertical="bottom"/>
    </xf>
    <xf borderId="0" fillId="27" fontId="3" numFmtId="0" xfId="0" applyAlignment="1" applyFont="1">
      <alignment readingOrder="0" shrinkToFit="0" vertical="bottom" wrapText="0"/>
    </xf>
    <xf borderId="0" fillId="28" fontId="8" numFmtId="0" xfId="0" applyFill="1" applyFont="1"/>
    <xf borderId="11" fillId="27" fontId="3" numFmtId="0" xfId="0" applyAlignment="1" applyBorder="1" applyFont="1">
      <alignment shrinkToFit="0" vertical="bottom" wrapText="0"/>
    </xf>
    <xf borderId="11" fillId="22" fontId="3" numFmtId="0" xfId="0" applyAlignment="1" applyBorder="1" applyFont="1">
      <alignment shrinkToFit="0" vertical="bottom" wrapText="0"/>
    </xf>
    <xf borderId="12" fillId="19" fontId="3" numFmtId="0" xfId="0" applyAlignment="1" applyBorder="1" applyFont="1">
      <alignment shrinkToFit="0" vertical="bottom" wrapText="0"/>
    </xf>
    <xf borderId="12" fillId="20" fontId="3" numFmtId="0" xfId="0" applyAlignment="1" applyBorder="1" applyFont="1">
      <alignment horizontal="left" readingOrder="0"/>
    </xf>
    <xf borderId="13" fillId="27" fontId="3" numFmtId="0" xfId="0" applyAlignment="1" applyBorder="1" applyFont="1">
      <alignment shrinkToFit="0" vertical="bottom" wrapText="0"/>
    </xf>
    <xf borderId="13" fillId="22" fontId="3" numFmtId="0" xfId="0" applyAlignment="1" applyBorder="1" applyFont="1">
      <alignment shrinkToFit="0" vertical="bottom" wrapText="0"/>
    </xf>
    <xf borderId="0" fillId="19" fontId="3" numFmtId="0" xfId="0" applyAlignment="1" applyFont="1">
      <alignment vertical="bottom"/>
    </xf>
    <xf borderId="0" fillId="20" fontId="3" numFmtId="0" xfId="0" applyAlignment="1" applyFont="1">
      <alignment vertical="bottom"/>
    </xf>
    <xf borderId="11" fillId="22" fontId="3" numFmtId="49" xfId="0" applyAlignment="1" applyBorder="1" applyFont="1" applyNumberFormat="1">
      <alignment vertical="bottom"/>
    </xf>
    <xf borderId="12" fillId="27" fontId="3" numFmtId="0" xfId="0" applyAlignment="1" applyBorder="1" applyFont="1">
      <alignment shrinkToFit="0" vertical="bottom" wrapText="0"/>
    </xf>
    <xf borderId="0" fillId="19" fontId="3" numFmtId="0" xfId="0" applyAlignment="1" applyFont="1">
      <alignment readingOrder="0" vertical="bottom"/>
    </xf>
    <xf borderId="0" fillId="27" fontId="3" numFmtId="0" xfId="0" applyAlignment="1" applyFont="1">
      <alignment readingOrder="0" shrinkToFit="0" vertical="bottom" wrapText="0"/>
    </xf>
    <xf borderId="0" fillId="25" fontId="3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27" fontId="3" numFmtId="0" xfId="0" applyAlignment="1" applyFont="1">
      <alignment shrinkToFit="0" vertical="top" wrapText="0"/>
    </xf>
    <xf borderId="11" fillId="22" fontId="3" numFmtId="0" xfId="0" applyAlignment="1" applyBorder="1" applyFont="1">
      <alignment vertical="bottom"/>
    </xf>
    <xf borderId="0" fillId="25" fontId="10" numFmtId="0" xfId="0" applyAlignment="1" applyFont="1">
      <alignment vertical="bottom"/>
    </xf>
    <xf borderId="11" fillId="19" fontId="3" numFmtId="0" xfId="0" applyAlignment="1" applyBorder="1" applyFont="1">
      <alignment readingOrder="0" vertical="bottom"/>
    </xf>
    <xf borderId="0" fillId="27" fontId="0" numFmtId="0" xfId="0" applyAlignment="1" applyFont="1">
      <alignment readingOrder="0"/>
    </xf>
    <xf borderId="0" fillId="22" fontId="18" numFmtId="0" xfId="0" applyAlignment="1" applyFont="1">
      <alignment readingOrder="0" shrinkToFit="0" wrapText="1"/>
    </xf>
    <xf borderId="0" fillId="29" fontId="19" numFmtId="0" xfId="0" applyAlignment="1" applyFill="1" applyFont="1">
      <alignment readingOrder="0"/>
    </xf>
    <xf borderId="0" fillId="22" fontId="20" numFmtId="0" xfId="0" applyAlignment="1" applyFont="1">
      <alignment readingOrder="0" shrinkToFit="0" wrapText="1"/>
    </xf>
    <xf borderId="0" fillId="30" fontId="3" numFmtId="0" xfId="0" applyAlignment="1" applyFill="1" applyFont="1">
      <alignment shrinkToFit="0" vertical="bottom" wrapText="0"/>
    </xf>
    <xf borderId="4" fillId="12" fontId="9" numFmtId="0" xfId="0" applyAlignment="1" applyBorder="1" applyFont="1">
      <alignment vertical="bottom"/>
    </xf>
    <xf borderId="3" fillId="13" fontId="10" numFmtId="0" xfId="0" applyAlignment="1" applyBorder="1" applyFont="1">
      <alignment vertical="bottom"/>
    </xf>
    <xf borderId="14" fillId="14" fontId="10" numFmtId="0" xfId="0" applyAlignment="1" applyBorder="1" applyFont="1">
      <alignment vertical="bottom"/>
    </xf>
    <xf borderId="3" fillId="0" fontId="8" numFmtId="0" xfId="0" applyBorder="1" applyFont="1"/>
    <xf borderId="3" fillId="15" fontId="10" numFmtId="0" xfId="0" applyAlignment="1" applyBorder="1" applyFont="1">
      <alignment vertical="bottom"/>
    </xf>
    <xf borderId="3" fillId="17" fontId="10" numFmtId="0" xfId="0" applyAlignment="1" applyBorder="1" applyFont="1">
      <alignment vertical="bottom"/>
    </xf>
    <xf borderId="3" fillId="16" fontId="10" numFmtId="0" xfId="0" applyAlignment="1" applyBorder="1" applyFont="1">
      <alignment vertical="bottom"/>
    </xf>
    <xf borderId="3" fillId="18" fontId="5" numFmtId="0" xfId="0" applyAlignment="1" applyBorder="1" applyFont="1">
      <alignment vertical="bottom"/>
    </xf>
    <xf borderId="1" fillId="19" fontId="10" numFmtId="0" xfId="0" applyAlignment="1" applyBorder="1" applyFont="1">
      <alignment vertical="bottom"/>
    </xf>
    <xf borderId="2" fillId="20" fontId="10" numFmtId="0" xfId="0" applyAlignment="1" applyBorder="1" applyFont="1">
      <alignment vertical="bottom"/>
    </xf>
    <xf borderId="5" fillId="21" fontId="10" numFmtId="0" xfId="0" applyAlignment="1" applyBorder="1" applyFont="1">
      <alignment vertical="bottom"/>
    </xf>
    <xf borderId="2" fillId="24" fontId="10" numFmtId="0" xfId="0" applyAlignment="1" applyBorder="1" applyFont="1">
      <alignment vertical="bottom"/>
    </xf>
    <xf borderId="2" fillId="23" fontId="10" numFmtId="0" xfId="0" applyAlignment="1" applyBorder="1" applyFont="1">
      <alignment horizontal="right" vertical="bottom"/>
    </xf>
    <xf borderId="2" fillId="25" fontId="10" numFmtId="0" xfId="0" applyAlignment="1" applyBorder="1" applyFont="1">
      <alignment vertical="bottom"/>
    </xf>
    <xf borderId="3" fillId="20" fontId="21" numFmtId="0" xfId="0" applyAlignment="1" applyBorder="1" applyFont="1">
      <alignment vertical="bottom"/>
    </xf>
    <xf borderId="14" fillId="21" fontId="10" numFmtId="0" xfId="0" applyAlignment="1" applyBorder="1" applyFont="1">
      <alignment vertical="bottom"/>
    </xf>
    <xf borderId="3" fillId="22" fontId="11" numFmtId="0" xfId="0" applyAlignment="1" applyBorder="1" applyFont="1">
      <alignment shrinkToFit="0" vertical="bottom" wrapText="0"/>
    </xf>
    <xf borderId="3" fillId="24" fontId="10" numFmtId="0" xfId="0" applyAlignment="1" applyBorder="1" applyFont="1">
      <alignment readingOrder="0" vertical="bottom"/>
    </xf>
    <xf borderId="3" fillId="20" fontId="21" numFmtId="0" xfId="0" applyAlignment="1" applyBorder="1" applyFont="1">
      <alignment readingOrder="0" vertical="bottom"/>
    </xf>
    <xf borderId="6" fillId="21" fontId="10" numFmtId="0" xfId="0" applyAlignment="1" applyBorder="1" applyFont="1">
      <alignment vertical="bottom"/>
    </xf>
    <xf borderId="1" fillId="22" fontId="10" numFmtId="0" xfId="0" applyAlignment="1" applyBorder="1" applyFont="1">
      <alignment vertical="bottom"/>
    </xf>
    <xf borderId="1" fillId="20" fontId="22" numFmtId="0" xfId="0" applyAlignment="1" applyBorder="1" applyFont="1">
      <alignment shrinkToFit="0" wrapText="0"/>
    </xf>
    <xf borderId="4" fillId="21" fontId="0" numFmtId="0" xfId="0" applyAlignment="1" applyBorder="1" applyFont="1">
      <alignment shrinkToFit="0" wrapText="0"/>
    </xf>
    <xf borderId="0" fillId="21" fontId="10" numFmtId="0" xfId="0" applyAlignment="1" applyFont="1">
      <alignment vertical="bottom"/>
    </xf>
    <xf borderId="1" fillId="0" fontId="13" numFmtId="0" xfId="0" applyAlignment="1" applyBorder="1" applyFont="1">
      <alignment horizontal="left" readingOrder="0" shrinkToFit="0" vertical="bottom" wrapText="0"/>
    </xf>
    <xf borderId="3" fillId="23" fontId="10" numFmtId="0" xfId="0" applyAlignment="1" applyBorder="1" applyFont="1">
      <alignment horizontal="right" readingOrder="0" vertical="bottom"/>
    </xf>
    <xf borderId="3" fillId="21" fontId="10" numFmtId="0" xfId="0" applyAlignment="1" applyBorder="1" applyFont="1">
      <alignment readingOrder="0" vertical="bottom"/>
    </xf>
    <xf borderId="0" fillId="22" fontId="10" numFmtId="0" xfId="0" applyAlignment="1" applyFont="1">
      <alignment readingOrder="0" vertical="bottom"/>
    </xf>
    <xf borderId="14" fillId="21" fontId="10" numFmtId="0" xfId="0" applyAlignment="1" applyBorder="1" applyFont="1">
      <alignment readingOrder="0" vertical="bottom"/>
    </xf>
    <xf borderId="3" fillId="22" fontId="10" numFmtId="0" xfId="0" applyAlignment="1" applyBorder="1" applyFont="1">
      <alignment readingOrder="0" vertical="bottom"/>
    </xf>
    <xf borderId="14" fillId="21" fontId="3" numFmtId="0" xfId="0" applyAlignment="1" applyBorder="1" applyFont="1">
      <alignment vertical="bottom"/>
    </xf>
    <xf borderId="3" fillId="20" fontId="10" numFmtId="0" xfId="0" applyAlignment="1" applyBorder="1" applyFont="1">
      <alignment horizontal="left" vertical="bottom"/>
    </xf>
    <xf borderId="3" fillId="21" fontId="10" numFmtId="0" xfId="0" applyAlignment="1" applyBorder="1" applyFont="1">
      <alignment horizontal="left" vertical="bottom"/>
    </xf>
    <xf borderId="0" fillId="21" fontId="3" numFmtId="0" xfId="0" applyAlignment="1" applyFont="1">
      <alignment vertical="bottom"/>
    </xf>
    <xf borderId="3" fillId="22" fontId="10" numFmtId="0" xfId="0" applyAlignment="1" applyBorder="1" applyFont="1">
      <alignment horizontal="left" vertical="bottom"/>
    </xf>
    <xf borderId="3" fillId="20" fontId="10" numFmtId="0" xfId="0" applyAlignment="1" applyBorder="1" applyFont="1">
      <alignment readingOrder="0" vertical="bottom"/>
    </xf>
    <xf borderId="0" fillId="21" fontId="10" numFmtId="0" xfId="0" applyAlignment="1" applyFont="1">
      <alignment readingOrder="0" vertical="bottom"/>
    </xf>
    <xf borderId="14" fillId="0" fontId="8" numFmtId="0" xfId="0" applyBorder="1" applyFont="1"/>
    <xf borderId="3" fillId="25" fontId="10" numFmtId="0" xfId="0" applyAlignment="1" applyBorder="1" applyFont="1">
      <alignment horizontal="right" vertical="bottom"/>
    </xf>
    <xf borderId="0" fillId="0" fontId="12" numFmtId="0" xfId="0" applyAlignment="1" applyFont="1">
      <alignment readingOrder="0"/>
    </xf>
    <xf borderId="3" fillId="20" fontId="23" numFmtId="0" xfId="0" applyAlignment="1" applyBorder="1" applyFont="1">
      <alignment vertical="bottom"/>
    </xf>
    <xf borderId="2" fillId="14" fontId="10" numFmtId="0" xfId="0" applyAlignment="1" applyBorder="1" applyFont="1">
      <alignment readingOrder="0" vertical="bottom"/>
    </xf>
    <xf borderId="1" fillId="22" fontId="13" numFmtId="0" xfId="0" applyAlignment="1" applyBorder="1" applyFont="1">
      <alignment shrinkToFit="0" wrapText="0"/>
    </xf>
    <xf borderId="1" fillId="24" fontId="0" numFmtId="0" xfId="0" applyAlignment="1" applyBorder="1" applyFont="1">
      <alignment shrinkToFit="0" wrapText="0"/>
    </xf>
    <xf borderId="1" fillId="24" fontId="13" numFmtId="0" xfId="0" applyAlignment="1" applyBorder="1" applyFont="1">
      <alignment shrinkToFit="0" wrapText="0"/>
    </xf>
    <xf borderId="3" fillId="25" fontId="10" numFmtId="0" xfId="0" applyAlignment="1" applyBorder="1" applyFont="1">
      <alignment horizontal="right" readingOrder="0" vertical="bottom"/>
    </xf>
    <xf borderId="1" fillId="20" fontId="3" numFmtId="0" xfId="0" applyAlignment="1" applyBorder="1" applyFont="1">
      <alignment readingOrder="0"/>
    </xf>
    <xf borderId="1" fillId="24" fontId="3" numFmtId="0" xfId="0" applyAlignment="1" applyBorder="1" applyFont="1">
      <alignment readingOrder="0"/>
    </xf>
    <xf borderId="1" fillId="22" fontId="3" numFmtId="0" xfId="0" applyAlignment="1" applyBorder="1" applyFont="1">
      <alignment horizontal="left" readingOrder="0"/>
    </xf>
    <xf borderId="3" fillId="21" fontId="3" numFmtId="0" xfId="0" applyAlignment="1" applyBorder="1" applyFont="1">
      <alignment vertical="bottom"/>
    </xf>
    <xf borderId="2" fillId="13" fontId="10" numFmtId="0" xfId="0" applyAlignment="1" applyBorder="1" applyFont="1">
      <alignment readingOrder="0" vertical="bottom"/>
    </xf>
    <xf borderId="2" fillId="16" fontId="10" numFmtId="0" xfId="0" applyAlignment="1" applyBorder="1" applyFont="1">
      <alignment readingOrder="0" vertical="bottom"/>
    </xf>
    <xf borderId="1" fillId="19" fontId="10" numFmtId="0" xfId="0" applyAlignment="1" applyBorder="1" applyFont="1">
      <alignment horizontal="left" readingOrder="0" vertical="bottom"/>
    </xf>
    <xf borderId="1" fillId="20" fontId="10" numFmtId="0" xfId="0" applyAlignment="1" applyBorder="1" applyFont="1">
      <alignment readingOrder="0" vertical="bottom"/>
    </xf>
    <xf borderId="3" fillId="24" fontId="3" numFmtId="0" xfId="0" applyAlignment="1" applyBorder="1" applyFont="1">
      <alignment vertical="bottom"/>
    </xf>
    <xf borderId="3" fillId="25" fontId="3" numFmtId="0" xfId="0" applyAlignment="1" applyBorder="1" applyFont="1">
      <alignment vertical="bottom"/>
    </xf>
    <xf borderId="1" fillId="19" fontId="10" numFmtId="0" xfId="0" applyAlignment="1" applyBorder="1" applyFont="1">
      <alignment readingOrder="0" vertical="bottom"/>
    </xf>
    <xf borderId="3" fillId="25" fontId="3" numFmtId="0" xfId="0" applyAlignment="1" applyBorder="1" applyFont="1">
      <alignment readingOrder="0" vertical="bottom"/>
    </xf>
    <xf borderId="0" fillId="22" fontId="10" numFmtId="0" xfId="0" applyAlignment="1" applyFont="1">
      <alignment vertical="bottom"/>
    </xf>
    <xf borderId="0" fillId="25" fontId="3" numFmtId="0" xfId="0" applyAlignment="1" applyFont="1">
      <alignment vertical="bottom"/>
    </xf>
    <xf borderId="0" fillId="25" fontId="3" numFmtId="0" xfId="0" applyAlignment="1" applyFont="1">
      <alignment readingOrder="0" vertical="bottom"/>
    </xf>
    <xf borderId="1" fillId="19" fontId="10" numFmtId="0" xfId="0" applyAlignment="1" applyBorder="1" applyFont="1">
      <alignment horizontal="left" vertical="bottom"/>
    </xf>
    <xf borderId="1" fillId="20" fontId="10" numFmtId="0" xfId="0" applyAlignment="1" applyBorder="1" applyFont="1">
      <alignment horizontal="left" readingOrder="0" vertical="bottom"/>
    </xf>
    <xf borderId="1" fillId="21" fontId="3" numFmtId="0" xfId="0" applyAlignment="1" applyBorder="1" applyFont="1">
      <alignment horizontal="left" readingOrder="0"/>
    </xf>
    <xf borderId="1" fillId="22" fontId="10" numFmtId="0" xfId="0" applyAlignment="1" applyBorder="1" applyFont="1">
      <alignment horizontal="left" vertical="bottom"/>
    </xf>
    <xf borderId="1" fillId="19" fontId="3" numFmtId="0" xfId="0" applyAlignment="1" applyBorder="1" applyFont="1">
      <alignment horizontal="left" readingOrder="0"/>
    </xf>
    <xf borderId="1" fillId="20" fontId="3" numFmtId="0" xfId="0" applyAlignment="1" applyBorder="1" applyFont="1">
      <alignment horizontal="left" readingOrder="0"/>
    </xf>
    <xf borderId="1" fillId="21" fontId="3" numFmtId="0" xfId="0" applyAlignment="1" applyBorder="1" applyFont="1">
      <alignment horizontal="left" readingOrder="0"/>
    </xf>
    <xf borderId="0" fillId="13" fontId="12" numFmtId="0" xfId="0" applyAlignment="1" applyFont="1">
      <alignment readingOrder="0"/>
    </xf>
    <xf borderId="3" fillId="24" fontId="3" numFmtId="0" xfId="0" applyAlignment="1" applyBorder="1" applyFont="1">
      <alignment readingOrder="0" vertical="bottom"/>
    </xf>
    <xf borderId="1" fillId="19" fontId="0" numFmtId="0" xfId="0" applyAlignment="1" applyBorder="1" applyFont="1">
      <alignment horizontal="left" shrinkToFit="0" wrapText="0"/>
    </xf>
    <xf borderId="1" fillId="20" fontId="0" numFmtId="0" xfId="0" applyAlignment="1" applyBorder="1" applyFont="1">
      <alignment horizontal="left" readingOrder="0" shrinkToFit="0" wrapText="0"/>
    </xf>
    <xf borderId="1" fillId="21" fontId="0" numFmtId="0" xfId="0" applyAlignment="1" applyBorder="1" applyFont="1">
      <alignment horizontal="left" shrinkToFit="0" wrapText="0"/>
    </xf>
    <xf borderId="1" fillId="22" fontId="0" numFmtId="0" xfId="0" applyAlignment="1" applyBorder="1" applyFont="1">
      <alignment horizontal="left" shrinkToFit="0" wrapText="0"/>
    </xf>
    <xf borderId="0" fillId="0" fontId="12" numFmtId="0" xfId="0" applyFont="1"/>
    <xf borderId="0" fillId="13" fontId="8" numFmtId="0" xfId="0" applyFont="1"/>
    <xf borderId="1" fillId="21" fontId="10" numFmtId="0" xfId="0" applyAlignment="1" applyBorder="1" applyFont="1">
      <alignment horizontal="left" vertical="bottom"/>
    </xf>
    <xf borderId="1" fillId="15" fontId="10" numFmtId="0" xfId="0" applyAlignment="1" applyBorder="1" applyFont="1">
      <alignment readingOrder="0" vertical="bottom"/>
    </xf>
    <xf borderId="1" fillId="15" fontId="0" numFmtId="0" xfId="0" applyAlignment="1" applyBorder="1" applyFont="1">
      <alignment shrinkToFit="0" wrapText="0"/>
    </xf>
    <xf borderId="1" fillId="19" fontId="3" numFmtId="0" xfId="0" applyAlignment="1" applyBorder="1" applyFont="1">
      <alignment horizontal="left" vertical="bottom"/>
    </xf>
    <xf borderId="1" fillId="20" fontId="3" numFmtId="0" xfId="0" applyAlignment="1" applyBorder="1" applyFont="1">
      <alignment horizontal="left" readingOrder="0" vertical="bottom"/>
    </xf>
    <xf borderId="1" fillId="22" fontId="3" numFmtId="0" xfId="0" applyAlignment="1" applyBorder="1" applyFont="1">
      <alignment horizontal="left" vertical="bottom"/>
    </xf>
    <xf borderId="1" fillId="23" fontId="3" numFmtId="0" xfId="0" applyAlignment="1" applyBorder="1" applyFont="1">
      <alignment readingOrder="0" vertical="bottom"/>
    </xf>
    <xf borderId="3" fillId="24" fontId="3" numFmtId="0" xfId="0" applyAlignment="1" applyBorder="1" applyFont="1">
      <alignment vertical="bottom"/>
    </xf>
    <xf borderId="1" fillId="20" fontId="0" numFmtId="0" xfId="0" applyAlignment="1" applyBorder="1" applyFont="1">
      <alignment horizontal="left" shrinkToFit="0" wrapText="0"/>
    </xf>
    <xf borderId="1" fillId="21" fontId="13" numFmtId="0" xfId="0" applyAlignment="1" applyBorder="1" applyFont="1">
      <alignment horizontal="left" shrinkToFit="0" wrapText="0"/>
    </xf>
    <xf borderId="1" fillId="22" fontId="13" numFmtId="0" xfId="0" applyAlignment="1" applyBorder="1" applyFont="1">
      <alignment horizontal="left" shrinkToFit="0" wrapText="0"/>
    </xf>
    <xf borderId="1" fillId="19" fontId="0" numFmtId="0" xfId="0" applyAlignment="1" applyBorder="1" applyFont="1">
      <alignment horizontal="left" readingOrder="0" shrinkToFit="0" wrapText="0"/>
    </xf>
    <xf borderId="1" fillId="20" fontId="13" numFmtId="0" xfId="0" applyAlignment="1" applyBorder="1" applyFont="1">
      <alignment horizontal="left" shrinkToFit="0" wrapText="0"/>
    </xf>
    <xf borderId="1" fillId="23" fontId="13" numFmtId="0" xfId="0" applyAlignment="1" applyBorder="1" applyFont="1">
      <alignment shrinkToFit="0" wrapText="0"/>
    </xf>
    <xf borderId="1" fillId="31" fontId="11" numFmtId="0" xfId="0" applyAlignment="1" applyBorder="1" applyFill="1" applyFont="1">
      <alignment shrinkToFit="0" vertical="bottom" wrapText="0"/>
    </xf>
    <xf borderId="1" fillId="24" fontId="10" numFmtId="0" xfId="0" applyAlignment="1" applyBorder="1" applyFont="1">
      <alignment vertical="bottom"/>
    </xf>
    <xf borderId="1" fillId="16" fontId="10" numFmtId="0" xfId="0" applyAlignment="1" applyBorder="1" applyFont="1">
      <alignment vertical="bottom"/>
    </xf>
    <xf borderId="1" fillId="16" fontId="3" numFmtId="0" xfId="0" applyAlignment="1" applyBorder="1" applyFont="1">
      <alignment readingOrder="0"/>
    </xf>
    <xf borderId="1" fillId="16" fontId="0" numFmtId="0" xfId="0" applyAlignment="1" applyBorder="1" applyFont="1">
      <alignment readingOrder="0" shrinkToFit="0" wrapText="0"/>
    </xf>
    <xf borderId="1" fillId="16" fontId="3" numFmtId="0" xfId="0" applyAlignment="1" applyBorder="1" applyFont="1">
      <alignment vertical="bottom"/>
    </xf>
    <xf borderId="1" fillId="15" fontId="0" numFmtId="0" xfId="0" applyAlignment="1" applyBorder="1" applyFont="1">
      <alignment horizontal="left" shrinkToFit="0" wrapText="0"/>
    </xf>
    <xf borderId="1" fillId="15" fontId="13" numFmtId="0" xfId="0" applyAlignment="1" applyBorder="1" applyFont="1">
      <alignment horizontal="left" shrinkToFit="0" wrapText="0"/>
    </xf>
    <xf borderId="1" fillId="24" fontId="10" numFmtId="0" xfId="0" applyAlignment="1" applyBorder="1" applyFont="1">
      <alignment readingOrder="0" vertical="bottom"/>
    </xf>
    <xf borderId="3" fillId="19" fontId="0" numFmtId="0" xfId="0" applyAlignment="1" applyBorder="1" applyFont="1">
      <alignment horizontal="left" shrinkToFit="0" wrapText="0"/>
    </xf>
    <xf borderId="14" fillId="21" fontId="0" numFmtId="0" xfId="0" applyAlignment="1" applyBorder="1" applyFont="1">
      <alignment horizontal="left" shrinkToFit="0" wrapText="0"/>
    </xf>
    <xf borderId="3" fillId="22" fontId="0" numFmtId="0" xfId="0" applyAlignment="1" applyBorder="1" applyFont="1">
      <alignment horizontal="left" shrinkToFit="0" wrapText="0"/>
    </xf>
    <xf borderId="3" fillId="24" fontId="0" numFmtId="0" xfId="0" applyAlignment="1" applyBorder="1" applyFont="1">
      <alignment shrinkToFit="0" wrapText="0"/>
    </xf>
    <xf borderId="0" fillId="0" fontId="3" numFmtId="0" xfId="0" applyAlignment="1" applyFont="1">
      <alignment readingOrder="0" vertical="bottom"/>
    </xf>
    <xf borderId="3" fillId="20" fontId="0" numFmtId="0" xfId="0" applyAlignment="1" applyBorder="1" applyFont="1">
      <alignment horizontal="left" shrinkToFit="0" wrapText="0"/>
    </xf>
    <xf borderId="3" fillId="19" fontId="10" numFmtId="0" xfId="0" applyAlignment="1" applyBorder="1" applyFont="1">
      <alignment readingOrder="0" vertical="bottom"/>
    </xf>
    <xf borderId="3" fillId="19" fontId="10" numFmtId="0" xfId="0" applyAlignment="1" applyBorder="1" applyFont="1">
      <alignment horizontal="left" vertical="bottom"/>
    </xf>
    <xf borderId="3" fillId="22" fontId="14" numFmtId="0" xfId="0" applyAlignment="1" applyBorder="1" applyFont="1">
      <alignment readingOrder="0"/>
    </xf>
    <xf borderId="3" fillId="29" fontId="19" numFmtId="0" xfId="0" applyAlignment="1" applyBorder="1" applyFont="1">
      <alignment readingOrder="0"/>
    </xf>
    <xf borderId="3" fillId="19" fontId="3" numFmtId="0" xfId="0" applyAlignment="1" applyBorder="1" applyFont="1">
      <alignment horizontal="left" readingOrder="0"/>
    </xf>
    <xf borderId="3" fillId="20" fontId="3" numFmtId="0" xfId="0" applyAlignment="1" applyBorder="1" applyFont="1">
      <alignment horizontal="left" readingOrder="0"/>
    </xf>
    <xf borderId="3" fillId="22" fontId="3" numFmtId="0" xfId="0" applyAlignment="1" applyBorder="1" applyFont="1">
      <alignment horizontal="left" readingOrder="0"/>
    </xf>
    <xf borderId="3" fillId="20" fontId="10" numFmtId="0" xfId="0" applyAlignment="1" applyBorder="1" applyFont="1">
      <alignment horizontal="left" readingOrder="0" vertical="bottom"/>
    </xf>
    <xf borderId="3" fillId="22" fontId="13" numFmtId="0" xfId="0" applyAlignment="1" applyBorder="1" applyFont="1">
      <alignment horizontal="left" readingOrder="0" shrinkToFit="0" wrapText="0"/>
    </xf>
    <xf borderId="3" fillId="25" fontId="19" numFmtId="0" xfId="0" applyAlignment="1" applyBorder="1" applyFont="1">
      <alignment readingOrder="0"/>
    </xf>
    <xf borderId="0" fillId="13" fontId="8" numFmtId="0" xfId="0" applyAlignment="1" applyFont="1">
      <alignment readingOrder="0"/>
    </xf>
    <xf borderId="3" fillId="15" fontId="0" numFmtId="0" xfId="0" applyAlignment="1" applyBorder="1" applyFont="1">
      <alignment horizontal="left" shrinkToFit="0" wrapText="0"/>
    </xf>
    <xf borderId="1" fillId="15" fontId="0" numFmtId="0" xfId="0" applyAlignment="1" applyBorder="1" applyFont="1">
      <alignment horizontal="left" readingOrder="0" shrinkToFit="0" wrapText="0"/>
    </xf>
    <xf borderId="3" fillId="15" fontId="13" numFmtId="0" xfId="0" applyAlignment="1" applyBorder="1" applyFont="1">
      <alignment horizontal="left" shrinkToFit="0" wrapText="0"/>
    </xf>
    <xf borderId="3" fillId="24" fontId="10" numFmtId="3" xfId="0" applyAlignment="1" applyBorder="1" applyFont="1" applyNumberFormat="1">
      <alignment readingOrder="0" vertical="bottom"/>
    </xf>
    <xf borderId="3" fillId="22" fontId="13" numFmtId="0" xfId="0" applyAlignment="1" applyBorder="1" applyFont="1">
      <alignment horizontal="left" shrinkToFit="0" wrapText="0"/>
    </xf>
    <xf borderId="3" fillId="19" fontId="10" numFmtId="0" xfId="0" applyAlignment="1" applyBorder="1" applyFont="1">
      <alignment vertical="bottom"/>
    </xf>
    <xf borderId="3" fillId="20" fontId="3" numFmtId="0" xfId="0" applyAlignment="1" applyBorder="1" applyFont="1">
      <alignment readingOrder="0"/>
    </xf>
    <xf borderId="3" fillId="20" fontId="0" numFmtId="0" xfId="0" applyAlignment="1" applyBorder="1" applyFont="1">
      <alignment horizontal="left" readingOrder="0" shrinkToFit="0" wrapText="0"/>
    </xf>
    <xf borderId="1" fillId="21" fontId="0" numFmtId="0" xfId="0" applyAlignment="1" applyBorder="1" applyFont="1">
      <alignment horizontal="left" readingOrder="0" shrinkToFit="0" wrapText="0"/>
    </xf>
    <xf borderId="3" fillId="19" fontId="3" numFmtId="0" xfId="0" applyAlignment="1" applyBorder="1" applyFont="1">
      <alignment readingOrder="0"/>
    </xf>
    <xf borderId="3" fillId="22" fontId="3" numFmtId="0" xfId="0" applyAlignment="1" applyBorder="1" applyFont="1">
      <alignment readingOrder="0"/>
    </xf>
    <xf borderId="14" fillId="21" fontId="13" numFmtId="0" xfId="0" applyAlignment="1" applyBorder="1" applyFont="1">
      <alignment horizontal="left" shrinkToFit="0" wrapText="0"/>
    </xf>
    <xf borderId="14" fillId="21" fontId="10" numFmtId="0" xfId="0" applyAlignment="1" applyBorder="1" applyFont="1">
      <alignment horizontal="left" vertical="bottom"/>
    </xf>
    <xf borderId="3" fillId="22" fontId="24" numFmtId="0" xfId="0" applyAlignment="1" applyBorder="1" applyFont="1">
      <alignment readingOrder="0"/>
    </xf>
    <xf borderId="3" fillId="25" fontId="14" numFmtId="0" xfId="0" applyAlignment="1" applyBorder="1" applyFont="1">
      <alignment readingOrder="0"/>
    </xf>
    <xf borderId="3" fillId="19" fontId="3" numFmtId="0" xfId="0" applyAlignment="1" applyBorder="1" applyFont="1">
      <alignment horizontal="left"/>
    </xf>
    <xf borderId="14" fillId="21" fontId="3" numFmtId="0" xfId="0" applyAlignment="1" applyBorder="1" applyFont="1">
      <alignment horizontal="left"/>
    </xf>
    <xf borderId="3" fillId="22" fontId="3" numFmtId="0" xfId="0" applyAlignment="1" applyBorder="1" applyFont="1">
      <alignment horizontal="left"/>
    </xf>
    <xf borderId="14" fillId="21" fontId="3" numFmtId="0" xfId="0" applyAlignment="1" applyBorder="1" applyFont="1">
      <alignment horizontal="left" readingOrder="0"/>
    </xf>
    <xf borderId="3" fillId="19" fontId="0" numFmtId="0" xfId="0" applyAlignment="1" applyBorder="1" applyFont="1">
      <alignment shrinkToFit="0" wrapText="0"/>
    </xf>
    <xf borderId="14" fillId="21" fontId="13" numFmtId="0" xfId="0" applyAlignment="1" applyBorder="1" applyFont="1">
      <alignment shrinkToFit="0" wrapText="0"/>
    </xf>
    <xf borderId="3" fillId="22" fontId="13" numFmtId="0" xfId="0" applyAlignment="1" applyBorder="1" applyFont="1">
      <alignment shrinkToFit="0" wrapText="0"/>
    </xf>
    <xf borderId="1" fillId="19" fontId="3" numFmtId="0" xfId="0" applyAlignment="1" applyBorder="1" applyFont="1">
      <alignment readingOrder="0"/>
    </xf>
    <xf borderId="3" fillId="12" fontId="5" numFmtId="0" xfId="0" applyAlignment="1" applyBorder="1" applyFont="1">
      <alignment vertical="bottom"/>
    </xf>
    <xf borderId="3" fillId="25" fontId="10" numFmtId="164" xfId="0" applyAlignment="1" applyBorder="1" applyFont="1" applyNumberFormat="1">
      <alignment vertical="bottom"/>
    </xf>
    <xf borderId="3" fillId="20" fontId="7" numFmtId="0" xfId="0" applyAlignment="1" applyBorder="1" applyFont="1">
      <alignment vertical="bottom"/>
    </xf>
    <xf borderId="15" fillId="21" fontId="7" numFmtId="0" xfId="0" applyAlignment="1" applyBorder="1" applyFont="1">
      <alignment shrinkToFit="0" vertical="bottom" wrapText="0"/>
    </xf>
    <xf borderId="3" fillId="22" fontId="7" numFmtId="0" xfId="0" applyAlignment="1" applyBorder="1" applyFont="1">
      <alignment vertical="bottom"/>
    </xf>
    <xf borderId="3" fillId="24" fontId="7" numFmtId="0" xfId="0" applyAlignment="1" applyBorder="1" applyFont="1">
      <alignment vertical="bottom"/>
    </xf>
    <xf borderId="3" fillId="13" fontId="10" numFmtId="0" xfId="0" applyAlignment="1" applyBorder="1" applyFont="1">
      <alignment vertical="bottom"/>
    </xf>
    <xf borderId="15" fillId="21" fontId="3" numFmtId="0" xfId="0" applyAlignment="1" applyBorder="1" applyFont="1">
      <alignment shrinkToFit="0" vertical="bottom" wrapText="0"/>
    </xf>
    <xf borderId="3" fillId="22" fontId="3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1" fillId="0" fontId="10" numFmtId="0" xfId="0" applyAlignment="1" applyBorder="1" applyFont="1">
      <alignment readingOrder="0" vertical="bottom"/>
    </xf>
    <xf borderId="2" fillId="0" fontId="10" numFmtId="0" xfId="0" applyAlignment="1" applyBorder="1" applyFont="1">
      <alignment vertical="bottom"/>
    </xf>
    <xf borderId="0" fillId="26" fontId="25" numFmtId="0" xfId="0" applyAlignment="1" applyFont="1">
      <alignment readingOrder="0"/>
    </xf>
    <xf borderId="2" fillId="18" fontId="5" numFmtId="0" xfId="0" applyAlignment="1" applyBorder="1" applyFont="1">
      <alignment readingOrder="0" vertical="bottom"/>
    </xf>
    <xf borderId="0" fillId="17" fontId="26" numFmtId="0" xfId="0" applyAlignment="1" applyFont="1">
      <alignment horizontal="center" vertical="bottom"/>
    </xf>
    <xf borderId="14" fillId="0" fontId="10" numFmtId="0" xfId="0" applyAlignment="1" applyBorder="1" applyFont="1">
      <alignment vertical="bottom"/>
    </xf>
    <xf borderId="15" fillId="0" fontId="10" numFmtId="0" xfId="0" applyAlignment="1" applyBorder="1" applyFont="1">
      <alignment shrinkToFit="0" vertical="bottom" wrapText="0"/>
    </xf>
    <xf borderId="4" fillId="13" fontId="10" numFmtId="0" xfId="0" applyAlignment="1" applyBorder="1" applyFont="1">
      <alignment vertical="bottom"/>
    </xf>
    <xf borderId="14" fillId="14" fontId="3" numFmtId="0" xfId="0" applyAlignment="1" applyBorder="1" applyFont="1">
      <alignment vertical="bottom"/>
    </xf>
    <xf borderId="3" fillId="15" fontId="10" numFmtId="165" xfId="0" applyAlignment="1" applyBorder="1" applyFont="1" applyNumberFormat="1">
      <alignment vertical="bottom"/>
    </xf>
    <xf borderId="3" fillId="17" fontId="10" numFmtId="0" xfId="0" applyAlignment="1" applyBorder="1" applyFont="1">
      <alignment vertical="bottom"/>
    </xf>
    <xf borderId="3" fillId="16" fontId="10" numFmtId="0" xfId="0" applyAlignment="1" applyBorder="1" applyFont="1">
      <alignment vertical="bottom"/>
    </xf>
    <xf borderId="4" fillId="20" fontId="10" numFmtId="0" xfId="0" applyAlignment="1" applyBorder="1" applyFont="1">
      <alignment vertical="bottom"/>
    </xf>
    <xf borderId="14" fillId="21" fontId="10" numFmtId="0" xfId="0" applyAlignment="1" applyBorder="1" applyFont="1">
      <alignment vertical="bottom"/>
    </xf>
    <xf borderId="3" fillId="22" fontId="10" numFmtId="165" xfId="0" applyAlignment="1" applyBorder="1" applyFont="1" applyNumberFormat="1">
      <alignment vertical="bottom"/>
    </xf>
    <xf borderId="3" fillId="24" fontId="10" numFmtId="0" xfId="0" applyAlignment="1" applyBorder="1" applyFont="1">
      <alignment vertical="bottom"/>
    </xf>
    <xf borderId="3" fillId="23" fontId="10" numFmtId="0" xfId="0" applyAlignment="1" applyBorder="1" applyFont="1">
      <alignment horizontal="right" vertical="bottom"/>
    </xf>
    <xf borderId="0" fillId="0" fontId="10" numFmtId="0" xfId="0" applyAlignment="1" applyFont="1">
      <alignment vertical="bottom"/>
    </xf>
    <xf borderId="3" fillId="22" fontId="10" numFmtId="49" xfId="0" applyAlignment="1" applyBorder="1" applyFont="1" applyNumberFormat="1">
      <alignment vertical="bottom"/>
    </xf>
    <xf borderId="3" fillId="23" fontId="10" numFmtId="0" xfId="0" applyAlignment="1" applyBorder="1" applyFont="1">
      <alignment horizontal="right" vertical="bottom"/>
    </xf>
    <xf borderId="0" fillId="2" fontId="10" numFmtId="0" xfId="0" applyAlignment="1" applyFont="1">
      <alignment vertical="bottom"/>
    </xf>
    <xf borderId="3" fillId="22" fontId="10" numFmtId="0" xfId="0" applyAlignment="1" applyBorder="1" applyFont="1">
      <alignment vertical="bottom"/>
    </xf>
    <xf borderId="0" fillId="2" fontId="21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22" numFmtId="0" xfId="0" applyAlignment="1" applyFont="1">
      <alignment shrinkToFit="0" wrapText="0"/>
    </xf>
    <xf borderId="16" fillId="32" fontId="0" numFmtId="0" xfId="0" applyAlignment="1" applyBorder="1" applyFill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0" fillId="0" fontId="27" numFmtId="0" xfId="0" applyAlignment="1" applyFont="1">
      <alignment readingOrder="0"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0" fontId="0" numFmtId="3" xfId="0" applyAlignment="1" applyFont="1" applyNumberFormat="1">
      <alignment readingOrder="0" shrinkToFit="0" wrapText="0"/>
    </xf>
    <xf borderId="0" fillId="2" fontId="29" numFmtId="0" xfId="0" applyAlignment="1" applyFont="1">
      <alignment horizontal="left" readingOrder="0"/>
    </xf>
    <xf borderId="0" fillId="13" fontId="0" numFmtId="0" xfId="0" applyAlignment="1" applyFont="1">
      <alignment shrinkToFit="0" wrapText="0"/>
    </xf>
    <xf borderId="0" fillId="13" fontId="0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wrapText="1"/>
    </xf>
    <xf borderId="0" fillId="2" fontId="3" numFmtId="0" xfId="0" applyAlignment="1" applyFont="1">
      <alignment readingOrder="0"/>
    </xf>
    <xf borderId="0" fillId="0" fontId="0" numFmtId="0" xfId="0" applyAlignment="1" applyFont="1">
      <alignment shrinkToFit="0" wrapText="0"/>
    </xf>
    <xf borderId="0" fillId="15" fontId="1" numFmtId="0" xfId="0" applyAlignment="1" applyFont="1">
      <alignment readingOrder="0" vertical="bottom"/>
    </xf>
    <xf borderId="0" fillId="13" fontId="1" numFmtId="0" xfId="0" applyAlignment="1" applyFont="1">
      <alignment vertical="bottom"/>
    </xf>
    <xf borderId="0" fillId="13" fontId="10" numFmtId="0" xfId="0" applyAlignment="1" applyFont="1">
      <alignment vertical="bottom"/>
    </xf>
    <xf borderId="0" fillId="33" fontId="3" numFmtId="0" xfId="0" applyAlignment="1" applyFill="1" applyFont="1">
      <alignment vertical="bottom"/>
    </xf>
    <xf borderId="0" fillId="34" fontId="1" numFmtId="0" xfId="0" applyAlignment="1" applyFill="1" applyFont="1">
      <alignment shrinkToFit="0" vertical="bottom" wrapText="0"/>
    </xf>
    <xf borderId="0" fillId="34" fontId="10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0" numFmtId="3" xfId="0" applyAlignment="1" applyFont="1" applyNumberFormat="1">
      <alignment readingOrder="0" vertical="bottom"/>
    </xf>
    <xf borderId="0" fillId="0" fontId="3" numFmtId="0" xfId="0" applyAlignment="1" applyFont="1">
      <alignment shrinkToFit="0" vertical="bottom" wrapText="0"/>
    </xf>
    <xf borderId="0" fillId="17" fontId="3" numFmtId="0" xfId="0" applyAlignment="1" applyFont="1">
      <alignment vertical="bottom"/>
    </xf>
    <xf borderId="0" fillId="0" fontId="10" numFmtId="3" xfId="0" applyAlignment="1" applyFont="1" applyNumberFormat="1">
      <alignment vertical="bottom"/>
    </xf>
    <xf borderId="0" fillId="34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13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16" fontId="3" numFmtId="0" xfId="0" applyAlignment="1" applyFont="1">
      <alignment vertical="bottom"/>
    </xf>
    <xf borderId="0" fillId="15" fontId="3" numFmtId="0" xfId="0" applyAlignment="1" applyFont="1">
      <alignment shrinkToFit="0" vertical="bottom" wrapText="0"/>
    </xf>
    <xf borderId="11" fillId="15" fontId="3" numFmtId="0" xfId="0" applyAlignment="1" applyBorder="1" applyFont="1">
      <alignment shrinkToFit="0" vertical="bottom" wrapText="0"/>
    </xf>
    <xf borderId="0" fillId="2" fontId="10" numFmtId="0" xfId="0" applyAlignment="1" applyFont="1">
      <alignment vertical="bottom"/>
    </xf>
    <xf borderId="0" fillId="21" fontId="3" numFmtId="0" xfId="0" applyAlignment="1" applyFont="1">
      <alignment shrinkToFit="0" vertical="bottom" wrapText="0"/>
    </xf>
    <xf borderId="12" fillId="21" fontId="3" numFmtId="0" xfId="0" applyAlignment="1" applyBorder="1" applyFont="1">
      <alignment shrinkToFit="0" vertical="bottom" wrapText="0"/>
    </xf>
    <xf borderId="13" fillId="21" fontId="3" numFmtId="0" xfId="0" applyAlignment="1" applyBorder="1" applyFont="1">
      <alignment shrinkToFit="0" vertical="bottom" wrapText="0"/>
    </xf>
    <xf borderId="12" fillId="0" fontId="10" numFmtId="0" xfId="0" applyAlignment="1" applyBorder="1" applyFont="1">
      <alignment readingOrder="0" vertical="bottom"/>
    </xf>
    <xf borderId="0" fillId="14" fontId="1" numFmtId="0" xfId="0" applyAlignment="1" applyFont="1">
      <alignment vertical="bottom"/>
    </xf>
    <xf borderId="0" fillId="14" fontId="10" numFmtId="0" xfId="0" applyAlignment="1" applyFont="1">
      <alignment vertical="bottom"/>
    </xf>
    <xf borderId="0" fillId="21" fontId="10" numFmtId="0" xfId="0" applyAlignment="1" applyFont="1">
      <alignment vertical="bottom"/>
    </xf>
    <xf borderId="0" fillId="35" fontId="3" numFmtId="0" xfId="0" applyAlignment="1" applyFill="1" applyFont="1">
      <alignment vertical="bottom"/>
    </xf>
    <xf borderId="0" fillId="15" fontId="10" numFmtId="0" xfId="0" applyAlignment="1" applyFont="1">
      <alignment vertical="bottom"/>
    </xf>
    <xf borderId="0" fillId="15" fontId="3" numFmtId="0" xfId="0" applyAlignment="1" applyFont="1">
      <alignment vertical="bottom"/>
    </xf>
    <xf borderId="0" fillId="21" fontId="3" numFmtId="0" xfId="0" applyAlignment="1" applyFont="1">
      <alignment shrinkToFit="0" vertical="top" wrapText="0"/>
    </xf>
    <xf borderId="0" fillId="36" fontId="3" numFmtId="0" xfId="0" applyAlignment="1" applyFill="1" applyFont="1">
      <alignment vertical="bottom"/>
    </xf>
    <xf borderId="0" fillId="16" fontId="3" numFmtId="0" xfId="0" applyAlignment="1" applyFont="1">
      <alignment vertical="bottom"/>
    </xf>
    <xf borderId="0" fillId="30" fontId="3" numFmtId="0" xfId="0" applyAlignment="1" applyFont="1">
      <alignment vertical="bottom"/>
    </xf>
    <xf borderId="12" fillId="2" fontId="10" numFmtId="0" xfId="0" applyAlignment="1" applyBorder="1" applyFont="1">
      <alignment vertical="bottom"/>
    </xf>
    <xf borderId="13" fillId="2" fontId="10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0" fillId="16" fontId="3" numFmtId="0" xfId="0" applyAlignment="1" applyFont="1">
      <alignment shrinkToFit="0" vertical="bottom" wrapText="0"/>
    </xf>
    <xf borderId="0" fillId="31" fontId="11" numFmtId="0" xfId="0" applyAlignment="1" applyFont="1">
      <alignment shrinkToFit="0" vertical="bottom" wrapText="0"/>
    </xf>
    <xf borderId="11" fillId="0" fontId="10" numFmtId="0" xfId="0" applyAlignment="1" applyBorder="1" applyFont="1">
      <alignment vertical="bottom"/>
    </xf>
    <xf borderId="11" fillId="29" fontId="19" numFmtId="0" xfId="0" applyAlignment="1" applyBorder="1" applyFont="1">
      <alignment vertical="bottom"/>
    </xf>
    <xf borderId="0" fillId="37" fontId="3" numFmtId="0" xfId="0" applyAlignment="1" applyFill="1" applyFont="1">
      <alignment vertical="bottom"/>
    </xf>
    <xf borderId="12" fillId="30" fontId="3" numFmtId="0" xfId="0" applyAlignment="1" applyBorder="1" applyFont="1">
      <alignment vertical="bottom"/>
    </xf>
    <xf borderId="13" fillId="30" fontId="3" numFmtId="0" xfId="0" applyAlignment="1" applyBorder="1" applyFont="1">
      <alignment shrinkToFit="0" vertical="bottom" wrapText="0"/>
    </xf>
    <xf borderId="0" fillId="2" fontId="10" numFmtId="0" xfId="0" applyAlignment="1" applyFont="1">
      <alignment readingOrder="0" vertical="bottom"/>
    </xf>
    <xf borderId="0" fillId="38" fontId="3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16" fontId="10" numFmtId="0" xfId="0" applyAlignment="1" applyFont="1">
      <alignment vertical="bottom"/>
    </xf>
    <xf borderId="0" fillId="38" fontId="3" numFmtId="0" xfId="0" applyAlignment="1" applyFont="1">
      <alignment vertical="bottom"/>
    </xf>
    <xf borderId="0" fillId="38" fontId="3" numFmtId="0" xfId="0" applyAlignment="1" applyFont="1">
      <alignment vertical="bottom"/>
    </xf>
    <xf borderId="0" fillId="38" fontId="3" numFmtId="0" xfId="0" applyAlignment="1" applyFont="1">
      <alignment shrinkToFit="0" vertical="bottom" wrapText="0"/>
    </xf>
    <xf borderId="0" fillId="39" fontId="3" numFmtId="0" xfId="0" applyAlignment="1" applyFill="1" applyFont="1">
      <alignment vertical="bottom"/>
    </xf>
    <xf borderId="11" fillId="2" fontId="3" numFmtId="0" xfId="0" applyAlignment="1" applyBorder="1" applyFont="1">
      <alignment vertical="bottom"/>
    </xf>
    <xf borderId="0" fillId="2" fontId="3" numFmtId="0" xfId="0" applyAlignment="1" applyFont="1">
      <alignment horizontal="right" vertical="bottom"/>
    </xf>
    <xf borderId="0" fillId="15" fontId="3" numFmtId="0" xfId="0" applyAlignment="1" applyFont="1">
      <alignment vertical="bottom"/>
    </xf>
    <xf borderId="0" fillId="15" fontId="3" numFmtId="0" xfId="0" applyAlignment="1" applyFont="1">
      <alignment vertical="bottom"/>
    </xf>
    <xf borderId="1" fillId="15" fontId="8" numFmtId="0" xfId="0" applyAlignment="1" applyBorder="1" applyFont="1">
      <alignment readingOrder="0"/>
    </xf>
    <xf borderId="1" fillId="13" fontId="8" numFmtId="0" xfId="0" applyAlignment="1" applyBorder="1" applyFont="1">
      <alignment readingOrder="0"/>
    </xf>
    <xf borderId="1" fillId="14" fontId="8" numFmtId="0" xfId="0" applyAlignment="1" applyBorder="1" applyFont="1">
      <alignment readingOrder="0"/>
    </xf>
    <xf borderId="1" fillId="17" fontId="8" numFmtId="0" xfId="0" applyAlignment="1" applyBorder="1" applyFont="1">
      <alignment readingOrder="0"/>
    </xf>
    <xf borderId="1" fillId="28" fontId="30" numFmtId="0" xfId="0" applyAlignment="1" applyBorder="1" applyFont="1">
      <alignment readingOrder="0"/>
    </xf>
    <xf borderId="1" fillId="22" fontId="8" numFmtId="0" xfId="0" applyAlignment="1" applyBorder="1" applyFont="1">
      <alignment readingOrder="0"/>
    </xf>
    <xf borderId="1" fillId="27" fontId="31" numFmtId="0" xfId="0" applyAlignment="1" applyBorder="1" applyFont="1">
      <alignment readingOrder="0" shrinkToFit="0" wrapText="0"/>
    </xf>
    <xf borderId="1" fillId="24" fontId="8" numFmtId="0" xfId="0" applyAlignment="1" applyBorder="1" applyFont="1">
      <alignment readingOrder="0"/>
    </xf>
    <xf borderId="1" fillId="40" fontId="8" numFmtId="0" xfId="0" applyAlignment="1" applyBorder="1" applyFill="1" applyFont="1">
      <alignment readingOrder="0"/>
    </xf>
    <xf borderId="1" fillId="22" fontId="8" numFmtId="0" xfId="0" applyBorder="1" applyFont="1"/>
    <xf borderId="1" fillId="20" fontId="8" numFmtId="0" xfId="0" applyBorder="1" applyFont="1"/>
    <xf borderId="1" fillId="27" fontId="8" numFmtId="0" xfId="0" applyAlignment="1" applyBorder="1" applyFont="1">
      <alignment shrinkToFit="0" wrapText="0"/>
    </xf>
    <xf borderId="1" fillId="24" fontId="8" numFmtId="0" xfId="0" applyBorder="1" applyFont="1"/>
    <xf borderId="1" fillId="27" fontId="8" numFmtId="0" xfId="0" applyAlignment="1" applyBorder="1" applyFont="1">
      <alignment readingOrder="0" shrinkToFit="0" wrapText="0"/>
    </xf>
    <xf borderId="1" fillId="22" fontId="10" numFmtId="0" xfId="0" applyAlignment="1" applyBorder="1" applyFont="1">
      <alignment vertical="bottom"/>
    </xf>
    <xf borderId="0" fillId="30" fontId="10" numFmtId="0" xfId="0" applyAlignment="1" applyFont="1">
      <alignment vertical="bottom"/>
    </xf>
    <xf borderId="17" fillId="30" fontId="3" numFmtId="0" xfId="0" applyAlignment="1" applyBorder="1" applyFont="1">
      <alignment shrinkToFit="0" vertical="bottom" wrapText="0"/>
    </xf>
    <xf borderId="0" fillId="30" fontId="3" numFmtId="0" xfId="0" applyAlignment="1" applyFont="1">
      <alignment vertical="bottom"/>
    </xf>
    <xf borderId="0" fillId="23" fontId="10" numFmtId="0" xfId="0" applyAlignment="1" applyFont="1">
      <alignment vertical="bottom"/>
    </xf>
    <xf borderId="0" fillId="41" fontId="10" numFmtId="0" xfId="0" applyAlignment="1" applyFill="1" applyFont="1">
      <alignment vertical="bottom"/>
    </xf>
    <xf borderId="0" fillId="42" fontId="10" numFmtId="0" xfId="0" applyAlignment="1" applyFill="1" applyFont="1">
      <alignment vertical="bottom"/>
    </xf>
    <xf borderId="0" fillId="43" fontId="10" numFmtId="0" xfId="0" applyAlignment="1" applyFill="1" applyFont="1">
      <alignment vertical="bottom"/>
    </xf>
    <xf borderId="0" fillId="44" fontId="10" numFmtId="0" xfId="0" applyAlignment="1" applyFill="1" applyFont="1">
      <alignment vertical="bottom"/>
    </xf>
    <xf borderId="0" fillId="22" fontId="10" numFmtId="0" xfId="0" applyAlignment="1" applyFont="1">
      <alignment vertical="bottom"/>
    </xf>
    <xf borderId="0" fillId="45" fontId="10" numFmtId="0" xfId="0" applyAlignment="1" applyFill="1" applyFont="1">
      <alignment vertical="bottom"/>
    </xf>
    <xf borderId="17" fillId="30" fontId="21" numFmtId="0" xfId="0" applyAlignment="1" applyBorder="1" applyFont="1">
      <alignment shrinkToFit="0" vertical="bottom" wrapText="0"/>
    </xf>
    <xf borderId="17" fillId="30" fontId="10" numFmtId="0" xfId="0" applyAlignment="1" applyBorder="1" applyFont="1">
      <alignment shrinkToFit="0" vertical="bottom" wrapText="0"/>
    </xf>
    <xf borderId="17" fillId="41" fontId="21" numFmtId="0" xfId="0" applyAlignment="1" applyBorder="1" applyFont="1">
      <alignment shrinkToFit="0" vertical="bottom" wrapText="0"/>
    </xf>
    <xf borderId="17" fillId="41" fontId="10" numFmtId="0" xfId="0" applyAlignment="1" applyBorder="1" applyFont="1">
      <alignment shrinkToFit="0" vertical="bottom" wrapText="0"/>
    </xf>
    <xf borderId="0" fillId="0" fontId="10" numFmtId="0" xfId="0" applyAlignment="1" applyFont="1">
      <alignment horizontal="right" vertical="bottom"/>
    </xf>
    <xf borderId="17" fillId="16" fontId="21" numFmtId="0" xfId="0" applyAlignment="1" applyBorder="1" applyFont="1">
      <alignment shrinkToFit="0" vertical="bottom" wrapText="0"/>
    </xf>
    <xf borderId="17" fillId="23" fontId="21" numFmtId="0" xfId="0" applyAlignment="1" applyBorder="1" applyFont="1">
      <alignment shrinkToFit="0" vertical="bottom" wrapText="0"/>
    </xf>
    <xf borderId="0" fillId="23" fontId="3" numFmtId="0" xfId="0" applyAlignment="1" applyFont="1">
      <alignment vertical="bottom"/>
    </xf>
    <xf borderId="17" fillId="44" fontId="3" numFmtId="0" xfId="0" applyAlignment="1" applyBorder="1" applyFont="1">
      <alignment shrinkToFit="0" vertical="bottom" wrapText="0"/>
    </xf>
    <xf borderId="0" fillId="44" fontId="3" numFmtId="0" xfId="0" applyAlignment="1" applyFont="1">
      <alignment vertical="bottom"/>
    </xf>
    <xf borderId="17" fillId="43" fontId="21" numFmtId="0" xfId="0" applyAlignment="1" applyBorder="1" applyFont="1">
      <alignment shrinkToFit="0" vertical="bottom" wrapText="0"/>
    </xf>
    <xf borderId="0" fillId="43" fontId="3" numFmtId="0" xfId="0" applyAlignment="1" applyFont="1">
      <alignment vertical="bottom"/>
    </xf>
    <xf borderId="17" fillId="22" fontId="14" numFmtId="0" xfId="0" applyAlignment="1" applyBorder="1" applyFont="1">
      <alignment shrinkToFit="0" vertical="bottom" wrapText="0"/>
    </xf>
    <xf borderId="0" fillId="22" fontId="14" numFmtId="0" xfId="0" applyAlignment="1" applyFont="1">
      <alignment vertical="bottom"/>
    </xf>
    <xf borderId="17" fillId="45" fontId="14" numFmtId="0" xfId="0" applyAlignment="1" applyBorder="1" applyFont="1">
      <alignment shrinkToFit="0" vertical="bottom" wrapText="0"/>
    </xf>
    <xf borderId="0" fillId="45" fontId="10" numFmtId="165" xfId="0" applyAlignment="1" applyFont="1" applyNumberFormat="1">
      <alignment horizontal="right" vertical="bottom"/>
    </xf>
    <xf borderId="0" fillId="45" fontId="10" numFmtId="166" xfId="0" applyAlignment="1" applyFont="1" applyNumberFormat="1">
      <alignment horizontal="right" vertical="bottom"/>
    </xf>
    <xf borderId="17" fillId="45" fontId="10" numFmtId="0" xfId="0" applyAlignment="1" applyBorder="1" applyFont="1">
      <alignment shrinkToFit="0" vertical="bottom" wrapText="0"/>
    </xf>
    <xf borderId="0" fillId="45" fontId="14" numFmtId="0" xfId="0" applyAlignment="1" applyFont="1">
      <alignment vertical="bottom"/>
    </xf>
    <xf borderId="0" fillId="45" fontId="14" numFmtId="0" xfId="0" applyAlignment="1" applyFont="1">
      <alignment horizontal="right" vertical="bottom"/>
    </xf>
    <xf borderId="17" fillId="43" fontId="14" numFmtId="0" xfId="0" applyAlignment="1" applyBorder="1" applyFont="1">
      <alignment shrinkToFit="0" vertical="bottom" wrapText="0"/>
    </xf>
    <xf borderId="0" fillId="43" fontId="14" numFmtId="0" xfId="0" applyAlignment="1" applyFont="1">
      <alignment vertical="bottom"/>
    </xf>
    <xf borderId="0" fillId="0" fontId="32" numFmtId="0" xfId="0" applyAlignment="1" applyFont="1">
      <alignment readingOrder="0"/>
    </xf>
    <xf borderId="1" fillId="19" fontId="12" numFmtId="0" xfId="0" applyAlignment="1" applyBorder="1" applyFont="1">
      <alignment readingOrder="0"/>
    </xf>
    <xf borderId="6" fillId="27" fontId="8" numFmtId="0" xfId="0" applyAlignment="1" applyBorder="1" applyFont="1">
      <alignment readingOrder="0"/>
    </xf>
    <xf borderId="1" fillId="46" fontId="8" numFmtId="0" xfId="0" applyAlignment="1" applyBorder="1" applyFill="1" applyFont="1">
      <alignment readingOrder="0"/>
    </xf>
    <xf borderId="1" fillId="25" fontId="8" numFmtId="0" xfId="0" applyBorder="1" applyFont="1"/>
    <xf borderId="1" fillId="19" fontId="12" numFmtId="0" xfId="0" applyBorder="1" applyFont="1"/>
    <xf borderId="1" fillId="46" fontId="8" numFmtId="0" xfId="0" applyBorder="1" applyFont="1"/>
    <xf borderId="1" fillId="25" fontId="8" numFmtId="0" xfId="0" applyAlignment="1" applyBorder="1" applyFont="1">
      <alignment readingOrder="0"/>
    </xf>
    <xf borderId="5" fillId="27" fontId="8" numFmtId="0" xfId="0" applyBorder="1" applyFont="1"/>
    <xf borderId="6" fillId="27" fontId="8" numFmtId="0" xfId="0" applyBorder="1" applyFont="1"/>
    <xf borderId="1" fillId="47" fontId="12" numFmtId="0" xfId="0" applyBorder="1" applyFill="1" applyFont="1"/>
    <xf borderId="1" fillId="47" fontId="8" numFmtId="0" xfId="0" applyBorder="1" applyFont="1"/>
    <xf borderId="2" fillId="27" fontId="8" numFmtId="0" xfId="0" applyBorder="1" applyFont="1"/>
    <xf borderId="1" fillId="22" fontId="8" numFmtId="49" xfId="0" applyAlignment="1" applyBorder="1" applyFont="1" applyNumberFormat="1">
      <alignment readingOrder="0"/>
    </xf>
    <xf borderId="0" fillId="29" fontId="33" numFmtId="0" xfId="0" applyAlignment="1" applyFont="1">
      <alignment readingOrder="0"/>
    </xf>
    <xf borderId="18" fillId="17" fontId="34" numFmtId="3" xfId="0" applyAlignment="1" applyBorder="1" applyFont="1" applyNumberFormat="1">
      <alignment horizontal="left" readingOrder="0" shrinkToFit="0" vertical="bottom" wrapText="0"/>
    </xf>
    <xf borderId="18" fillId="17" fontId="34" numFmtId="0" xfId="0" applyAlignment="1" applyBorder="1" applyFont="1">
      <alignment horizontal="left" readingOrder="0" shrinkToFit="0" vertical="bottom" wrapText="0"/>
    </xf>
    <xf borderId="19" fillId="48" fontId="34" numFmtId="0" xfId="0" applyAlignment="1" applyBorder="1" applyFill="1" applyFont="1">
      <alignment horizontal="left" readingOrder="0" shrinkToFit="0" vertical="bottom" wrapText="0"/>
    </xf>
    <xf borderId="18" fillId="2" fontId="34" numFmtId="0" xfId="0" applyAlignment="1" applyBorder="1" applyFont="1">
      <alignment readingOrder="0" shrinkToFit="0" vertical="bottom" wrapText="0"/>
    </xf>
    <xf borderId="19" fillId="2" fontId="34" numFmtId="0" xfId="0" applyAlignment="1" applyBorder="1" applyFont="1">
      <alignment readingOrder="0" shrinkToFit="0" vertical="bottom" wrapText="0"/>
    </xf>
    <xf borderId="18" fillId="2" fontId="34" numFmtId="0" xfId="0" applyAlignment="1" applyBorder="1" applyFont="1">
      <alignment shrinkToFit="0" vertical="bottom" wrapText="0"/>
    </xf>
    <xf borderId="20" fillId="0" fontId="34" numFmtId="0" xfId="0" applyAlignment="1" applyBorder="1" applyFont="1">
      <alignment shrinkToFit="0" vertical="bottom" wrapText="0"/>
    </xf>
    <xf borderId="0" fillId="0" fontId="34" numFmtId="0" xfId="0" applyAlignment="1" applyFont="1">
      <alignment shrinkToFit="0" vertical="bottom" wrapText="0"/>
    </xf>
    <xf borderId="19" fillId="34" fontId="34" numFmtId="0" xfId="0" applyAlignment="1" applyBorder="1" applyFont="1">
      <alignment horizontal="left" readingOrder="0" shrinkToFit="0" vertical="bottom" wrapText="0"/>
    </xf>
    <xf borderId="19" fillId="2" fontId="34" numFmtId="0" xfId="0" applyAlignment="1" applyBorder="1" applyFont="1">
      <alignment shrinkToFit="0" vertical="bottom" wrapText="0"/>
    </xf>
    <xf borderId="19" fillId="13" fontId="34" numFmtId="0" xfId="0" applyAlignment="1" applyBorder="1" applyFont="1">
      <alignment horizontal="left" readingOrder="0" shrinkToFit="0" vertical="bottom" wrapText="0"/>
    </xf>
    <xf borderId="19" fillId="13" fontId="35" numFmtId="0" xfId="0" applyAlignment="1" applyBorder="1" applyFont="1">
      <alignment horizontal="left" readingOrder="0" shrinkToFit="0" vertical="bottom" wrapText="0"/>
    </xf>
    <xf borderId="19" fillId="2" fontId="34" numFmtId="0" xfId="0" applyAlignment="1" applyBorder="1" applyFont="1">
      <alignment horizontal="left" readingOrder="0" shrinkToFit="0" vertical="bottom" wrapText="0"/>
    </xf>
    <xf borderId="19" fillId="2" fontId="34" numFmtId="0" xfId="0" applyAlignment="1" applyBorder="1" applyFont="1">
      <alignment horizontal="left" readingOrder="0" shrinkToFit="0" vertical="bottom" wrapText="0"/>
    </xf>
    <xf borderId="19" fillId="14" fontId="35" numFmtId="0" xfId="0" applyAlignment="1" applyBorder="1" applyFont="1">
      <alignment horizontal="left" readingOrder="0" shrinkToFit="0" vertical="bottom" wrapText="0"/>
    </xf>
    <xf borderId="19" fillId="37" fontId="34" numFmtId="0" xfId="0" applyAlignment="1" applyBorder="1" applyFont="1">
      <alignment horizontal="left" readingOrder="0" shrinkToFit="0" vertical="bottom" wrapText="0"/>
    </xf>
    <xf borderId="19" fillId="2" fontId="36" numFmtId="0" xfId="0" applyAlignment="1" applyBorder="1" applyFont="1">
      <alignment horizontal="left" shrinkToFit="0" vertical="bottom" wrapText="0"/>
    </xf>
    <xf borderId="19" fillId="37" fontId="34" numFmtId="0" xfId="0" applyAlignment="1" applyBorder="1" applyFont="1">
      <alignment horizontal="left" readingOrder="0" shrinkToFit="0" vertical="bottom" wrapText="0"/>
    </xf>
    <xf borderId="19" fillId="2" fontId="37" numFmtId="0" xfId="0" applyAlignment="1" applyBorder="1" applyFont="1">
      <alignment horizontal="left" shrinkToFit="0" vertical="bottom" wrapText="0"/>
    </xf>
    <xf borderId="21" fillId="49" fontId="29" numFmtId="0" xfId="0" applyAlignment="1" applyBorder="1" applyFill="1" applyFont="1">
      <alignment horizontal="left" readingOrder="0" shrinkToFit="0" vertical="bottom" wrapText="0"/>
    </xf>
    <xf borderId="22" fillId="2" fontId="34" numFmtId="0" xfId="0" applyAlignment="1" applyBorder="1" applyFont="1">
      <alignment shrinkToFit="0" vertical="bottom" wrapText="0"/>
    </xf>
    <xf borderId="19" fillId="2" fontId="34" numFmtId="0" xfId="0" applyAlignment="1" applyBorder="1" applyFont="1">
      <alignment horizontal="left" shrinkToFit="0" vertical="bottom" wrapText="0"/>
    </xf>
    <xf borderId="1" fillId="49" fontId="29" numFmtId="0" xfId="0" applyAlignment="1" applyBorder="1" applyFont="1">
      <alignment horizontal="left" readingOrder="0" shrinkToFit="0" vertical="bottom" wrapText="0"/>
    </xf>
    <xf borderId="0" fillId="48" fontId="34" numFmtId="0" xfId="0" applyAlignment="1" applyFont="1">
      <alignment readingOrder="0" shrinkToFit="0" vertical="bottom" wrapText="0"/>
    </xf>
    <xf borderId="0" fillId="48" fontId="29" numFmtId="0" xfId="0" applyAlignment="1" applyFont="1">
      <alignment horizontal="left" readingOrder="0"/>
    </xf>
    <xf borderId="18" fillId="48" fontId="34" numFmtId="0" xfId="0" applyAlignment="1" applyBorder="1" applyFont="1">
      <alignment horizontal="left" readingOrder="0" shrinkToFit="0" vertical="bottom" wrapText="0"/>
    </xf>
    <xf borderId="0" fillId="2" fontId="3" numFmtId="0" xfId="0" applyAlignment="1" applyFont="1">
      <alignment horizontal="left" readingOrder="0"/>
    </xf>
    <xf borderId="0" fillId="50" fontId="38" numFmtId="0" xfId="0" applyAlignment="1" applyFill="1" applyFont="1">
      <alignment horizontal="left" readingOrder="0"/>
    </xf>
    <xf borderId="19" fillId="48" fontId="34" numFmtId="0" xfId="0" applyAlignment="1" applyBorder="1" applyFont="1">
      <alignment horizontal="left" readingOrder="0" shrinkToFit="0" vertical="bottom" wrapText="0"/>
    </xf>
    <xf borderId="19" fillId="2" fontId="34" numFmtId="0" xfId="0" applyAlignment="1" applyBorder="1" applyFont="1">
      <alignment shrinkToFit="0" vertical="bottom" wrapText="0"/>
    </xf>
    <xf borderId="19" fillId="2" fontId="39" numFmtId="0" xfId="0" applyAlignment="1" applyBorder="1" applyFont="1">
      <alignment readingOrder="0" shrinkToFit="0" vertical="bottom" wrapText="0"/>
    </xf>
    <xf borderId="0" fillId="31" fontId="4" numFmtId="0" xfId="0" applyAlignment="1" applyFont="1">
      <alignment readingOrder="0"/>
    </xf>
    <xf borderId="19" fillId="48" fontId="34" numFmtId="0" xfId="0" applyAlignment="1" applyBorder="1" applyFont="1">
      <alignment shrinkToFit="0" vertical="bottom" wrapText="0"/>
    </xf>
    <xf borderId="19" fillId="2" fontId="40" numFmtId="0" xfId="0" applyAlignment="1" applyBorder="1" applyFont="1">
      <alignment readingOrder="0" shrinkToFit="0" vertical="bottom" wrapText="0"/>
    </xf>
    <xf borderId="19" fillId="17" fontId="34" numFmtId="0" xfId="0" applyAlignment="1" applyBorder="1" applyFont="1">
      <alignment horizontal="left" readingOrder="0" shrinkToFit="0" vertical="bottom" wrapText="0"/>
    </xf>
    <xf borderId="19" fillId="17" fontId="34" numFmtId="0" xfId="0" applyAlignment="1" applyBorder="1" applyFont="1">
      <alignment horizontal="left" readingOrder="0" shrinkToFit="0" vertical="bottom" wrapText="0"/>
    </xf>
    <xf borderId="0" fillId="16" fontId="34" numFmtId="0" xfId="0" applyAlignment="1" applyFont="1">
      <alignment horizontal="left" readingOrder="0" vertical="bottom"/>
    </xf>
    <xf borderId="0" fillId="0" fontId="2" numFmtId="0" xfId="0" applyAlignment="1" applyFont="1">
      <alignment horizontal="center" readingOrder="0" vertical="top"/>
    </xf>
    <xf borderId="19" fillId="30" fontId="34" numFmtId="0" xfId="0" applyAlignment="1" applyBorder="1" applyFont="1">
      <alignment horizontal="left" readingOrder="0" shrinkToFit="0" vertical="bottom" wrapText="0"/>
    </xf>
    <xf borderId="19" fillId="30" fontId="34" numFmtId="0" xfId="0" applyAlignment="1" applyBorder="1" applyFont="1">
      <alignment horizontal="left" readingOrder="0" shrinkToFit="0" vertical="bottom" wrapText="0"/>
    </xf>
    <xf borderId="19" fillId="2" fontId="40" numFmtId="0" xfId="0" applyAlignment="1" applyBorder="1" applyFont="1">
      <alignment shrinkToFit="0" vertical="bottom" wrapText="0"/>
    </xf>
    <xf borderId="19" fillId="15" fontId="34" numFmtId="0" xfId="0" applyAlignment="1" applyBorder="1" applyFont="1">
      <alignment horizontal="left" readingOrder="0" shrinkToFit="0" vertical="bottom" wrapText="0"/>
    </xf>
    <xf borderId="19" fillId="0" fontId="34" numFmtId="0" xfId="0" applyAlignment="1" applyBorder="1" applyFont="1">
      <alignment horizontal="left" readingOrder="0" shrinkToFit="0" vertical="bottom" wrapText="0"/>
    </xf>
    <xf borderId="0" fillId="31" fontId="4" numFmtId="0" xfId="0" applyAlignment="1" applyFont="1">
      <alignment horizontal="left" readingOrder="0"/>
    </xf>
    <xf borderId="19" fillId="0" fontId="34" numFmtId="0" xfId="0" applyAlignment="1" applyBorder="1" applyFont="1">
      <alignment horizontal="left" shrinkToFit="0" vertical="bottom" wrapText="0"/>
    </xf>
    <xf borderId="19" fillId="0" fontId="34" numFmtId="0" xfId="0" applyAlignment="1" applyBorder="1" applyFont="1">
      <alignment shrinkToFit="0" vertical="bottom" wrapText="0"/>
    </xf>
    <xf borderId="19" fillId="14" fontId="35" numFmtId="0" xfId="0" applyAlignment="1" applyBorder="1" applyFont="1">
      <alignment horizontal="left" readingOrder="0" shrinkToFit="0" vertical="bottom" wrapText="0"/>
    </xf>
    <xf borderId="19" fillId="14" fontId="34" numFmtId="0" xfId="0" applyAlignment="1" applyBorder="1" applyFont="1">
      <alignment horizontal="left" readingOrder="0" shrinkToFit="0" vertical="bottom" wrapText="0"/>
    </xf>
    <xf borderId="19" fillId="27" fontId="34" numFmtId="0" xfId="0" applyAlignment="1" applyBorder="1" applyFont="1">
      <alignment horizontal="left" readingOrder="0" shrinkToFit="0" vertical="bottom" wrapText="0"/>
    </xf>
    <xf borderId="19" fillId="2" fontId="41" numFmtId="0" xfId="0" applyAlignment="1" applyBorder="1" applyFont="1">
      <alignment horizontal="left" readingOrder="0" shrinkToFit="0" vertical="bottom" wrapText="0"/>
    </xf>
    <xf borderId="19" fillId="15" fontId="34" numFmtId="0" xfId="0" applyAlignment="1" applyBorder="1" applyFont="1">
      <alignment horizontal="left" readingOrder="0" shrinkToFit="0" vertical="bottom" wrapText="0"/>
    </xf>
    <xf borderId="19" fillId="13" fontId="34" numFmtId="0" xfId="0" applyAlignment="1" applyBorder="1" applyFont="1">
      <alignment horizontal="left" readingOrder="0" shrinkToFit="0" vertical="bottom" wrapText="0"/>
    </xf>
    <xf borderId="19" fillId="2" fontId="42" numFmtId="0" xfId="0" applyAlignment="1" applyBorder="1" applyFont="1">
      <alignment horizontal="left" readingOrder="0" shrinkToFit="0" vertical="bottom" wrapText="0"/>
    </xf>
    <xf borderId="19" fillId="0" fontId="43" numFmtId="0" xfId="0" applyAlignment="1" applyBorder="1" applyFont="1">
      <alignment readingOrder="0"/>
    </xf>
    <xf borderId="19" fillId="2" fontId="34" numFmtId="0" xfId="0" applyAlignment="1" applyBorder="1" applyFont="1">
      <alignment readingOrder="0" shrinkToFit="0" vertical="bottom" wrapText="0"/>
    </xf>
    <xf borderId="19" fillId="2" fontId="44" numFmtId="0" xfId="0" applyAlignment="1" applyBorder="1" applyFont="1">
      <alignment horizontal="left" readingOrder="0" shrinkToFit="0" vertical="bottom" wrapText="0"/>
    </xf>
    <xf borderId="19" fillId="15" fontId="34" numFmtId="0" xfId="0" applyAlignment="1" applyBorder="1" applyFont="1">
      <alignment shrinkToFit="0" vertical="bottom" wrapText="0"/>
    </xf>
    <xf borderId="19" fillId="51" fontId="34" numFmtId="0" xfId="0" applyAlignment="1" applyBorder="1" applyFill="1" applyFont="1">
      <alignment horizontal="left" readingOrder="0" shrinkToFit="0" vertical="bottom" wrapText="0"/>
    </xf>
    <xf borderId="0" fillId="15" fontId="29" numFmtId="0" xfId="0" applyAlignment="1" applyFont="1">
      <alignment horizontal="left" readingOrder="0"/>
    </xf>
    <xf borderId="19" fillId="16" fontId="34" numFmtId="0" xfId="0" applyAlignment="1" applyBorder="1" applyFont="1">
      <alignment horizontal="left" readingOrder="0" shrinkToFit="0" vertical="bottom" wrapText="0"/>
    </xf>
    <xf borderId="0" fillId="0" fontId="34" numFmtId="0" xfId="0" applyAlignment="1" applyFont="1">
      <alignment readingOrder="0" shrinkToFit="0" vertical="bottom" wrapText="0"/>
    </xf>
    <xf borderId="23" fillId="0" fontId="34" numFmtId="0" xfId="0" applyAlignment="1" applyBorder="1" applyFont="1">
      <alignment shrinkToFit="0" vertical="bottom" wrapText="0"/>
    </xf>
    <xf borderId="24" fillId="0" fontId="34" numFmtId="0" xfId="0" applyAlignment="1" applyBorder="1" applyFont="1">
      <alignment shrinkToFit="0" vertical="bottom" wrapText="0"/>
    </xf>
    <xf borderId="24" fillId="0" fontId="34" numFmtId="0" xfId="0" applyAlignment="1" applyBorder="1" applyFont="1">
      <alignment readingOrder="0" shrinkToFit="0" vertical="bottom" wrapText="0"/>
    </xf>
    <xf borderId="0" fillId="15" fontId="34" numFmtId="0" xfId="0" applyAlignment="1" applyFont="1">
      <alignment readingOrder="0" shrinkToFit="0" vertical="bottom" wrapText="0"/>
    </xf>
    <xf borderId="0" fillId="13" fontId="34" numFmtId="0" xfId="0" applyAlignment="1" applyFont="1">
      <alignment readingOrder="0" shrinkToFit="0" vertical="bottom" wrapText="0"/>
    </xf>
    <xf borderId="0" fillId="52" fontId="45" numFmtId="0" xfId="0" applyAlignment="1" applyFill="1" applyFont="1">
      <alignment horizontal="left" readingOrder="0"/>
    </xf>
    <xf borderId="0" fillId="53" fontId="45" numFmtId="0" xfId="0" applyAlignment="1" applyFill="1" applyFont="1">
      <alignment horizontal="left" readingOrder="0"/>
    </xf>
    <xf borderId="0" fillId="0" fontId="46" numFmtId="0" xfId="0" applyAlignment="1" applyFont="1">
      <alignment readingOrder="0"/>
    </xf>
    <xf borderId="18" fillId="14" fontId="35" numFmtId="0" xfId="0" applyAlignment="1" applyBorder="1" applyFont="1">
      <alignment horizontal="left" readingOrder="0" shrinkToFit="0" vertical="bottom" wrapText="0"/>
    </xf>
    <xf borderId="19" fillId="2" fontId="40" numFmtId="0" xfId="0" applyAlignment="1" applyBorder="1" applyFont="1">
      <alignment horizontal="left" readingOrder="0" shrinkToFit="0" vertical="bottom" wrapText="0"/>
    </xf>
    <xf borderId="19" fillId="2" fontId="40" numFmtId="0" xfId="0" applyAlignment="1" applyBorder="1" applyFont="1">
      <alignment horizontal="left" readingOrder="0" shrinkToFit="0" vertical="bottom" wrapText="0"/>
    </xf>
    <xf borderId="24" fillId="15" fontId="34" numFmtId="0" xfId="0" applyAlignment="1" applyBorder="1" applyFont="1">
      <alignment readingOrder="0" shrinkToFit="0" vertical="bottom" wrapText="0"/>
    </xf>
    <xf borderId="24" fillId="0" fontId="34" numFmtId="0" xfId="0" applyAlignment="1" applyBorder="1" applyFont="1">
      <alignment readingOrder="0" shrinkToFit="0" vertical="bottom" wrapText="0"/>
    </xf>
    <xf borderId="22" fillId="2" fontId="40" numFmtId="0" xfId="0" applyAlignment="1" applyBorder="1" applyFont="1">
      <alignment shrinkToFit="0" vertical="bottom" wrapText="0"/>
    </xf>
    <xf borderId="0" fillId="0" fontId="34" numFmtId="0" xfId="0" applyAlignment="1" applyFont="1">
      <alignment readingOrder="0" shrinkToFit="0" vertical="bottom" wrapText="0"/>
    </xf>
    <xf borderId="0" fillId="0" fontId="34" numFmtId="3" xfId="0" applyAlignment="1" applyFont="1" applyNumberFormat="1">
      <alignment readingOrder="0" shrinkToFit="0" vertical="bottom" wrapText="0"/>
    </xf>
    <xf borderId="18" fillId="15" fontId="34" numFmtId="0" xfId="0" applyAlignment="1" applyBorder="1" applyFont="1">
      <alignment horizontal="left" readingOrder="0" shrinkToFit="0" vertical="bottom" wrapText="0"/>
    </xf>
    <xf borderId="18" fillId="2" fontId="34" numFmtId="0" xfId="0" applyAlignment="1" applyBorder="1" applyFont="1">
      <alignment horizontal="left" readingOrder="0" shrinkToFit="0" vertical="bottom" wrapText="0"/>
    </xf>
    <xf borderId="18" fillId="2" fontId="40" numFmtId="0" xfId="0" applyAlignment="1" applyBorder="1" applyFont="1">
      <alignment shrinkToFit="0" vertical="bottom" wrapText="0"/>
    </xf>
    <xf borderId="0" fillId="0" fontId="47" numFmtId="0" xfId="0" applyAlignment="1" applyFont="1">
      <alignment readingOrder="0"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2" fontId="34" numFmtId="0" xfId="0" applyAlignment="1" applyFont="1">
      <alignment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54" fontId="48" numFmtId="0" xfId="0" applyAlignment="1" applyFill="1" applyFont="1">
      <alignment readingOrder="0"/>
    </xf>
    <xf borderId="0" fillId="15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anieltest@dragonfly.com" TargetMode="External"/><Relationship Id="rId2" Type="http://schemas.openxmlformats.org/officeDocument/2006/relationships/hyperlink" Target="mailto:domexdan@yahoo.com" TargetMode="External"/><Relationship Id="rId3" Type="http://schemas.openxmlformats.org/officeDocument/2006/relationships/hyperlink" Target="mailto:dirklaw@yahoo.com" TargetMode="External"/><Relationship Id="rId4" Type="http://schemas.openxmlformats.org/officeDocument/2006/relationships/hyperlink" Target="mailto:peterj23@hotmail.co.uk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andrew@flirtomatic.com" TargetMode="External"/><Relationship Id="rId9" Type="http://schemas.openxmlformats.org/officeDocument/2006/relationships/hyperlink" Target="mailto:maltese_minx@yahoo.com" TargetMode="External"/><Relationship Id="rId5" Type="http://schemas.openxmlformats.org/officeDocument/2006/relationships/hyperlink" Target="mailto:casper181@hotmail.com" TargetMode="External"/><Relationship Id="rId6" Type="http://schemas.openxmlformats.org/officeDocument/2006/relationships/hyperlink" Target="mailto:tikaevo@gmail.com" TargetMode="External"/><Relationship Id="rId7" Type="http://schemas.openxmlformats.org/officeDocument/2006/relationships/hyperlink" Target="mailto:mat@gcqld.com" TargetMode="External"/><Relationship Id="rId8" Type="http://schemas.openxmlformats.org/officeDocument/2006/relationships/hyperlink" Target="mailto:hurlothrumbo@iprimus.com.a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omexdan@yahoo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ZTdTAPCQvY9I1Xdxb7WLwyCoLjTnA_ZS3LKKKQF5_0/edi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scottwtaylor67@gmail.com" TargetMode="External"/><Relationship Id="rId2" Type="http://schemas.openxmlformats.org/officeDocument/2006/relationships/hyperlink" Target="mailto:fishermanaaron1@yahoo.com" TargetMode="External"/><Relationship Id="rId3" Type="http://schemas.openxmlformats.org/officeDocument/2006/relationships/hyperlink" Target="mailto:revkah23@yahoo.com" TargetMode="External"/><Relationship Id="rId4" Type="http://schemas.openxmlformats.org/officeDocument/2006/relationships/hyperlink" Target="mailto:luimi_revolution@hotmail.com" TargetMode="External"/><Relationship Id="rId5" Type="http://schemas.openxmlformats.org/officeDocument/2006/relationships/hyperlink" Target="mailto:nauticalterm@gmail.com" TargetMode="External"/><Relationship Id="rId6" Type="http://schemas.openxmlformats.org/officeDocument/2006/relationships/hyperlink" Target="mailto:jmtomei@hotmail.com" TargetMode="External"/><Relationship Id="rId7" Type="http://schemas.openxmlformats.org/officeDocument/2006/relationships/hyperlink" Target="mailto:gotoxygen@gmail.com" TargetMode="External"/><Relationship Id="rId8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s://gyazo.com/c260c28c8da40f2ce10619797958e0a5" TargetMode="External"/><Relationship Id="rId10" Type="http://schemas.openxmlformats.org/officeDocument/2006/relationships/hyperlink" Target="https://gyazo.com/ccc549e6a7fa26e380d58a78cd3291fb" TargetMode="External"/><Relationship Id="rId13" Type="http://schemas.openxmlformats.org/officeDocument/2006/relationships/hyperlink" Target="https://gyazo.com/8b161a65f93ac1cce7960a4604f5439d" TargetMode="External"/><Relationship Id="rId12" Type="http://schemas.openxmlformats.org/officeDocument/2006/relationships/hyperlink" Target="https://gyazo.com/2140b6ea4222392e7d264a6a35defd60" TargetMode="External"/><Relationship Id="rId1" Type="http://schemas.openxmlformats.org/officeDocument/2006/relationships/hyperlink" Target="https://gyazo.com/5f93635986ae88ab3356bf938f46baf6" TargetMode="External"/><Relationship Id="rId2" Type="http://schemas.openxmlformats.org/officeDocument/2006/relationships/hyperlink" Target="https://gyazo.com/d64cb8205a085e370d6c9d835c98cfdd" TargetMode="External"/><Relationship Id="rId3" Type="http://schemas.openxmlformats.org/officeDocument/2006/relationships/hyperlink" Target="https://gyazo.com/0bb99d84d9823c82611f7984b9f60f7b" TargetMode="External"/><Relationship Id="rId4" Type="http://schemas.openxmlformats.org/officeDocument/2006/relationships/hyperlink" Target="https://gyazo.com/4ce07bb18bcfa3d8c6a2971cbcecb17c" TargetMode="External"/><Relationship Id="rId9" Type="http://schemas.openxmlformats.org/officeDocument/2006/relationships/hyperlink" Target="https://gyazo.com/1aba4766e97f0f4153bcc52f92cfe022" TargetMode="External"/><Relationship Id="rId15" Type="http://schemas.openxmlformats.org/officeDocument/2006/relationships/hyperlink" Target="https://gyazo.com/bfa09caf9a8fdc660e35c635ebcece85" TargetMode="External"/><Relationship Id="rId14" Type="http://schemas.openxmlformats.org/officeDocument/2006/relationships/hyperlink" Target="https://gyazo.com/957e636353f3ba7ceb7a9dd3d1cb281b" TargetMode="External"/><Relationship Id="rId16" Type="http://schemas.openxmlformats.org/officeDocument/2006/relationships/drawing" Target="../drawings/drawing13.xml"/><Relationship Id="rId5" Type="http://schemas.openxmlformats.org/officeDocument/2006/relationships/hyperlink" Target="https://gyazo.com/338db32ceb819a381c8061ccb0c0db0f" TargetMode="External"/><Relationship Id="rId6" Type="http://schemas.openxmlformats.org/officeDocument/2006/relationships/hyperlink" Target="https://gyazo.com/150fe413f1b0d4746b1bc2137f81c518" TargetMode="External"/><Relationship Id="rId7" Type="http://schemas.openxmlformats.org/officeDocument/2006/relationships/hyperlink" Target="https://gyazo.com/7b552502e9196b76007f0068352f58af" TargetMode="External"/><Relationship Id="rId8" Type="http://schemas.openxmlformats.org/officeDocument/2006/relationships/hyperlink" Target="https://gyazo.com/eb6879f704695f0444b0a8e4c4b1ff52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bnBe1G1tE3gKfWT4XeNSaYY1yIQd6L5/view?usp=sharing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cc2.evony.com/s.html?loginid=747970653d66616365626f6f6b266163636573735f746f6b656e3d3337323236383234393833337c6d443835334f4c33373075476f553877353432674b76783245362e333630302e313432303636333033322d3130303030333230393236313137377c35777454645870355953536b4537344669363639737039396b45345026626173655f646f6d61696e3d65766f6e792e636f6d26657870697265733d31343230383335383332267365637265743d7475334e6d466b454843656f307138325a773544743039382673657373696f6e5f6b65793d6d443835334f4c33373075476f553877353432674b76783245362e333630302e313432303636333033322d313030303033323039323631313737267569643d3130303030333230393236313137372666625f7369673d39326438333930353536383765386632323831373033623863303061613131622666627569643d313030303033323039323631313737266c&amp;adv=www_evony_com_inde" TargetMode="External"/><Relationship Id="rId2" Type="http://schemas.openxmlformats.org/officeDocument/2006/relationships/hyperlink" Target="http://cc2.evony.com/s.html?loginid=757365726e616d653d6b656e6469636f736d6f407961686f6f2e636f6d2670617373776f72643d666c31707065727a2669703d3231362e36362e362e313135267265673d30&amp;adv=www_evony_com_inde" TargetMode="External"/><Relationship Id="rId3" Type="http://schemas.openxmlformats.org/officeDocument/2006/relationships/hyperlink" Target="http://cc2.evony.com/s.html?loginid=757365726e616d653d726f656a6f686e3131323840676d61696c2e636f6d2670617373776f72643d42616e6b6169212669703d3231362e36362e31372e313638267265673d30&amp;adv=www_evony_com_inde" TargetMode="External"/><Relationship Id="rId4" Type="http://schemas.openxmlformats.org/officeDocument/2006/relationships/hyperlink" Target="http://cc2.evony.com/s.html?loginid=757365726e616d653d612d6a2d776174736f6e40686f746d61696c2e636f2e756b2670617373776f72643d42616e6b6169212669703d3231362e36362e31372e313638267265673d30&amp;adv=www_evony_com_inde" TargetMode="External"/><Relationship Id="rId5" Type="http://schemas.openxmlformats.org/officeDocument/2006/relationships/hyperlink" Target="http://cc2.evony.com/s.html?loginid=757365726e616d653d72616e646f6d647261676f6e3340686f746d61696c2e636f6d2670617373776f72643d42616e6b6169212669703d3231362e36362e31372e313638267265673d30&amp;adv=www_evony_com_inde" TargetMode="External"/><Relationship Id="rId6" Type="http://schemas.openxmlformats.org/officeDocument/2006/relationships/hyperlink" Target="http://cc2.evony.com/s.html?loginid=757365726e616d653d6775792e6d756e64794074697363616c692e636f2e756b2670617373776f72643d42616e6b6169212669703d3231362e36362e31372e313638267265673d30&amp;adv=www_evony_com_inde" TargetMode="External"/><Relationship Id="rId7" Type="http://schemas.openxmlformats.org/officeDocument/2006/relationships/hyperlink" Target="http://na1.evony.com/s.html?loginid=757365726e616d653d736164696b616840686f746d61696c2e636f6d2670617373776f72643d7368697466616365643234372669703d3231362e36362e362e313531267265673d30&amp;adv=www_evony_com_inde" TargetMode="External"/><Relationship Id="rId8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3" width="22.5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</row>
    <row r="2" ht="15.75" customHeight="1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/>
      <c r="H2" s="6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" t="s">
        <v>14</v>
      </c>
      <c r="B3" s="9" t="s">
        <v>15</v>
      </c>
      <c r="C3" s="10"/>
      <c r="D3" s="10"/>
      <c r="E3" s="9" t="s">
        <v>16</v>
      </c>
      <c r="F3" s="11" t="s">
        <v>17</v>
      </c>
      <c r="G3" s="6"/>
      <c r="H3" s="6"/>
      <c r="I3" s="7"/>
      <c r="J3" s="7"/>
      <c r="K3" s="7"/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9" t="s">
        <v>18</v>
      </c>
      <c r="B4" s="9" t="s">
        <v>19</v>
      </c>
      <c r="C4" s="9" t="s">
        <v>20</v>
      </c>
      <c r="D4" s="9" t="s">
        <v>21</v>
      </c>
      <c r="E4" s="9" t="s">
        <v>16</v>
      </c>
      <c r="F4" s="11" t="s">
        <v>22</v>
      </c>
      <c r="G4" s="6"/>
      <c r="H4" s="11" t="s">
        <v>23</v>
      </c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9" t="s">
        <v>24</v>
      </c>
      <c r="B5" s="9" t="s">
        <v>25</v>
      </c>
      <c r="C5" s="9" t="s">
        <v>26</v>
      </c>
      <c r="D5" s="9" t="s">
        <v>27</v>
      </c>
      <c r="E5" s="9" t="s">
        <v>16</v>
      </c>
      <c r="F5" s="11" t="s">
        <v>17</v>
      </c>
      <c r="G5" s="11" t="s">
        <v>28</v>
      </c>
      <c r="H5" s="6"/>
      <c r="I5" s="7"/>
      <c r="J5" s="7"/>
      <c r="K5" s="7"/>
      <c r="L5" s="7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 t="s">
        <v>29</v>
      </c>
      <c r="B6" s="9" t="s">
        <v>29</v>
      </c>
      <c r="C6" s="9" t="s">
        <v>30</v>
      </c>
      <c r="D6" s="9" t="s">
        <v>31</v>
      </c>
      <c r="E6" s="9" t="s">
        <v>16</v>
      </c>
      <c r="F6" s="11" t="s">
        <v>13</v>
      </c>
      <c r="G6" s="11" t="s">
        <v>32</v>
      </c>
      <c r="H6" s="6"/>
      <c r="I6" s="7"/>
      <c r="J6" s="7"/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9" t="s">
        <v>33</v>
      </c>
      <c r="B7" s="9" t="s">
        <v>34</v>
      </c>
      <c r="C7" s="9" t="s">
        <v>35</v>
      </c>
      <c r="D7" s="9" t="s">
        <v>36</v>
      </c>
      <c r="E7" s="9" t="s">
        <v>16</v>
      </c>
      <c r="F7" s="11" t="s">
        <v>17</v>
      </c>
      <c r="G7" s="11" t="s">
        <v>37</v>
      </c>
      <c r="H7" s="6"/>
      <c r="I7" s="7"/>
      <c r="J7" s="7"/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4" t="s">
        <v>38</v>
      </c>
      <c r="B8" s="12" t="s">
        <v>39</v>
      </c>
      <c r="C8" s="4" t="s">
        <v>40</v>
      </c>
      <c r="D8" s="4" t="s">
        <v>41</v>
      </c>
      <c r="E8" s="4" t="s">
        <v>12</v>
      </c>
      <c r="F8" s="4" t="s">
        <v>22</v>
      </c>
      <c r="G8" s="6"/>
      <c r="H8" s="6"/>
      <c r="I8" s="7"/>
      <c r="J8" s="7"/>
      <c r="K8" s="7"/>
      <c r="L8" s="7"/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9" t="s">
        <v>42</v>
      </c>
      <c r="B9" s="9" t="s">
        <v>43</v>
      </c>
      <c r="C9" s="9" t="s">
        <v>44</v>
      </c>
      <c r="D9" s="9" t="s">
        <v>45</v>
      </c>
      <c r="E9" s="9" t="s">
        <v>16</v>
      </c>
      <c r="F9" s="6"/>
      <c r="G9" s="6"/>
      <c r="H9" s="6"/>
      <c r="I9" s="7"/>
      <c r="J9" s="7"/>
      <c r="K9" s="7"/>
      <c r="L9" s="7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9" t="s">
        <v>46</v>
      </c>
      <c r="B10" s="9" t="s">
        <v>47</v>
      </c>
      <c r="C10" s="13" t="s">
        <v>48</v>
      </c>
      <c r="D10" s="9" t="s">
        <v>49</v>
      </c>
      <c r="E10" s="9" t="s">
        <v>16</v>
      </c>
      <c r="F10" s="11" t="s">
        <v>50</v>
      </c>
      <c r="G10" s="11" t="s">
        <v>51</v>
      </c>
      <c r="H10" s="6"/>
      <c r="I10" s="7"/>
      <c r="J10" s="7"/>
      <c r="K10" s="7"/>
      <c r="L10" s="7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9" t="s">
        <v>52</v>
      </c>
      <c r="B11" s="9" t="s">
        <v>53</v>
      </c>
      <c r="C11" s="9" t="s">
        <v>54</v>
      </c>
      <c r="D11" s="9" t="s">
        <v>55</v>
      </c>
      <c r="E11" s="9" t="s">
        <v>16</v>
      </c>
      <c r="F11" s="11" t="s">
        <v>22</v>
      </c>
      <c r="G11" s="6"/>
      <c r="H11" s="6"/>
      <c r="I11" s="7"/>
      <c r="J11" s="7"/>
      <c r="K11" s="7"/>
      <c r="L11" s="7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9" t="s">
        <v>56</v>
      </c>
      <c r="B12" s="9" t="s">
        <v>29</v>
      </c>
      <c r="C12" s="9" t="s">
        <v>57</v>
      </c>
      <c r="D12" s="9" t="s">
        <v>58</v>
      </c>
      <c r="E12" s="9" t="s">
        <v>16</v>
      </c>
      <c r="F12" s="11" t="s">
        <v>17</v>
      </c>
      <c r="G12" s="6"/>
      <c r="H12" s="6"/>
      <c r="I12" s="7"/>
      <c r="J12" s="7"/>
      <c r="K12" s="7"/>
      <c r="L12" s="7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9" t="s">
        <v>59</v>
      </c>
      <c r="B13" s="9" t="s">
        <v>29</v>
      </c>
      <c r="C13" s="9" t="s">
        <v>60</v>
      </c>
      <c r="D13" s="9" t="s">
        <v>61</v>
      </c>
      <c r="E13" s="9" t="s">
        <v>16</v>
      </c>
      <c r="F13" s="11" t="s">
        <v>62</v>
      </c>
      <c r="G13" s="6"/>
      <c r="H13" s="6"/>
      <c r="I13" s="7"/>
      <c r="J13" s="7"/>
      <c r="K13" s="7"/>
      <c r="L13" s="7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9" t="s">
        <v>63</v>
      </c>
      <c r="B14" s="9" t="s">
        <v>47</v>
      </c>
      <c r="C14" s="13" t="s">
        <v>64</v>
      </c>
      <c r="D14" s="9" t="s">
        <v>49</v>
      </c>
      <c r="E14" s="9" t="s">
        <v>16</v>
      </c>
      <c r="F14" s="11" t="s">
        <v>50</v>
      </c>
      <c r="G14" s="11" t="s">
        <v>65</v>
      </c>
      <c r="H14" s="6"/>
      <c r="I14" s="7"/>
      <c r="J14" s="7"/>
      <c r="K14" s="7"/>
      <c r="L14" s="7"/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9" t="s">
        <v>66</v>
      </c>
      <c r="B15" s="9" t="s">
        <v>19</v>
      </c>
      <c r="C15" s="9" t="s">
        <v>67</v>
      </c>
      <c r="D15" s="9" t="s">
        <v>68</v>
      </c>
      <c r="E15" s="9" t="s">
        <v>16</v>
      </c>
      <c r="F15" s="11" t="s">
        <v>22</v>
      </c>
      <c r="G15" s="6"/>
      <c r="H15" s="6"/>
      <c r="I15" s="7"/>
      <c r="J15" s="7"/>
      <c r="K15" s="7"/>
      <c r="L15" s="7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4" t="s">
        <v>69</v>
      </c>
      <c r="B16" s="4" t="s">
        <v>70</v>
      </c>
      <c r="C16" s="4" t="s">
        <v>71</v>
      </c>
      <c r="D16" s="4" t="s">
        <v>72</v>
      </c>
      <c r="E16" s="4" t="s">
        <v>12</v>
      </c>
      <c r="F16" s="4" t="s">
        <v>13</v>
      </c>
      <c r="G16" s="6"/>
      <c r="H16" s="6"/>
      <c r="I16" s="7"/>
      <c r="J16" s="7"/>
      <c r="K16" s="7"/>
      <c r="L16" s="7"/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9" t="s">
        <v>73</v>
      </c>
      <c r="B17" s="9" t="s">
        <v>47</v>
      </c>
      <c r="C17" s="9" t="s">
        <v>74</v>
      </c>
      <c r="D17" s="9" t="s">
        <v>75</v>
      </c>
      <c r="E17" s="9" t="s">
        <v>16</v>
      </c>
      <c r="F17" s="14" t="s">
        <v>22</v>
      </c>
      <c r="G17" s="6"/>
      <c r="H17" s="6"/>
      <c r="I17" s="7"/>
      <c r="J17" s="7"/>
      <c r="K17" s="7"/>
      <c r="L17" s="7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9" t="s">
        <v>76</v>
      </c>
      <c r="B18" s="9" t="s">
        <v>77</v>
      </c>
      <c r="C18" s="9" t="s">
        <v>78</v>
      </c>
      <c r="D18" s="9" t="s">
        <v>79</v>
      </c>
      <c r="E18" s="9" t="s">
        <v>16</v>
      </c>
      <c r="F18" s="11" t="s">
        <v>22</v>
      </c>
      <c r="G18" s="6"/>
      <c r="H18" s="6"/>
      <c r="I18" s="7"/>
      <c r="J18" s="7"/>
      <c r="K18" s="7"/>
      <c r="L18" s="7"/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9" t="s">
        <v>80</v>
      </c>
      <c r="B19" s="9" t="s">
        <v>43</v>
      </c>
      <c r="C19" s="9" t="s">
        <v>81</v>
      </c>
      <c r="D19" s="9" t="s">
        <v>82</v>
      </c>
      <c r="E19" s="9" t="s">
        <v>16</v>
      </c>
      <c r="F19" s="6"/>
      <c r="G19" s="6"/>
      <c r="H19" s="6"/>
      <c r="I19" s="7"/>
      <c r="J19" s="7"/>
      <c r="K19" s="7"/>
      <c r="L19" s="7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9" t="s">
        <v>83</v>
      </c>
      <c r="B20" s="9" t="s">
        <v>47</v>
      </c>
      <c r="C20" s="9" t="s">
        <v>84</v>
      </c>
      <c r="D20" s="9" t="s">
        <v>85</v>
      </c>
      <c r="E20" s="9" t="s">
        <v>16</v>
      </c>
      <c r="F20" s="11" t="s">
        <v>22</v>
      </c>
      <c r="G20" s="6"/>
      <c r="H20" s="6"/>
      <c r="I20" s="7"/>
      <c r="J20" s="7"/>
      <c r="K20" s="7"/>
      <c r="L20" s="7"/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" t="s">
        <v>86</v>
      </c>
      <c r="B21" s="9" t="s">
        <v>47</v>
      </c>
      <c r="C21" s="9" t="s">
        <v>87</v>
      </c>
      <c r="D21" s="9" t="s">
        <v>88</v>
      </c>
      <c r="E21" s="9" t="s">
        <v>16</v>
      </c>
      <c r="F21" s="11" t="s">
        <v>22</v>
      </c>
      <c r="G21" s="6"/>
      <c r="H21" s="6"/>
      <c r="I21" s="7"/>
      <c r="J21" s="7"/>
      <c r="K21" s="7"/>
      <c r="L21" s="7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" t="s">
        <v>89</v>
      </c>
      <c r="B22" s="9" t="s">
        <v>19</v>
      </c>
      <c r="C22" s="9" t="s">
        <v>90</v>
      </c>
      <c r="D22" s="9" t="s">
        <v>91</v>
      </c>
      <c r="E22" s="9" t="s">
        <v>16</v>
      </c>
      <c r="F22" s="11" t="s">
        <v>22</v>
      </c>
      <c r="G22" s="6"/>
      <c r="H22" s="6"/>
      <c r="I22" s="7"/>
      <c r="J22" s="7"/>
      <c r="K22" s="7"/>
      <c r="L22" s="7"/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" t="s">
        <v>92</v>
      </c>
      <c r="B23" s="9" t="s">
        <v>19</v>
      </c>
      <c r="C23" s="9" t="s">
        <v>93</v>
      </c>
      <c r="D23" s="9" t="s">
        <v>94</v>
      </c>
      <c r="E23" s="9" t="s">
        <v>16</v>
      </c>
      <c r="F23" s="14" t="s">
        <v>13</v>
      </c>
      <c r="G23" s="11" t="s">
        <v>95</v>
      </c>
      <c r="H23" s="6"/>
      <c r="I23" s="7"/>
      <c r="J23" s="7"/>
      <c r="K23" s="7"/>
      <c r="L23" s="7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" t="s">
        <v>96</v>
      </c>
      <c r="B24" s="9" t="s">
        <v>47</v>
      </c>
      <c r="C24" s="9" t="s">
        <v>97</v>
      </c>
      <c r="D24" s="9" t="s">
        <v>75</v>
      </c>
      <c r="E24" s="9" t="s">
        <v>16</v>
      </c>
      <c r="F24" s="11" t="s">
        <v>22</v>
      </c>
      <c r="G24" s="6"/>
      <c r="H24" s="6"/>
      <c r="I24" s="7"/>
      <c r="J24" s="7"/>
      <c r="K24" s="7"/>
      <c r="L24" s="7"/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" t="s">
        <v>98</v>
      </c>
      <c r="B25" s="9" t="s">
        <v>47</v>
      </c>
      <c r="C25" s="13" t="s">
        <v>99</v>
      </c>
      <c r="D25" s="9" t="s">
        <v>100</v>
      </c>
      <c r="E25" s="9" t="s">
        <v>16</v>
      </c>
      <c r="F25" s="11" t="s">
        <v>17</v>
      </c>
      <c r="G25" s="6"/>
      <c r="H25" s="6"/>
      <c r="I25" s="7"/>
      <c r="J25" s="7"/>
      <c r="K25" s="7"/>
      <c r="L25" s="7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5" t="s">
        <v>101</v>
      </c>
      <c r="B26" s="15" t="s">
        <v>102</v>
      </c>
      <c r="C26" s="15" t="s">
        <v>103</v>
      </c>
      <c r="D26" s="15" t="s">
        <v>104</v>
      </c>
      <c r="E26" s="15" t="s">
        <v>105</v>
      </c>
      <c r="F26" s="15" t="s">
        <v>13</v>
      </c>
      <c r="G26" s="11" t="s">
        <v>106</v>
      </c>
      <c r="H26" s="6"/>
      <c r="I26" s="7"/>
      <c r="J26" s="7"/>
      <c r="K26" s="7"/>
      <c r="L26" s="7"/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" t="s">
        <v>107</v>
      </c>
      <c r="B27" s="9" t="s">
        <v>43</v>
      </c>
      <c r="C27" s="13" t="s">
        <v>108</v>
      </c>
      <c r="D27" s="9" t="s">
        <v>82</v>
      </c>
      <c r="E27" s="9" t="s">
        <v>16</v>
      </c>
      <c r="F27" s="6"/>
      <c r="G27" s="6"/>
      <c r="H27" s="6"/>
      <c r="I27" s="7"/>
      <c r="J27" s="7"/>
      <c r="K27" s="7"/>
      <c r="L27" s="7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9" t="s">
        <v>109</v>
      </c>
      <c r="B28" s="9" t="s">
        <v>43</v>
      </c>
      <c r="C28" s="9" t="s">
        <v>110</v>
      </c>
      <c r="D28" s="9" t="s">
        <v>82</v>
      </c>
      <c r="E28" s="9" t="s">
        <v>16</v>
      </c>
      <c r="F28" s="6"/>
      <c r="G28" s="6"/>
      <c r="H28" s="6"/>
      <c r="I28" s="7"/>
      <c r="J28" s="7"/>
      <c r="K28" s="7"/>
      <c r="L28" s="7"/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5" t="s">
        <v>111</v>
      </c>
      <c r="B29" s="15" t="s">
        <v>111</v>
      </c>
      <c r="C29" s="15" t="s">
        <v>112</v>
      </c>
      <c r="D29" s="15" t="s">
        <v>113</v>
      </c>
      <c r="E29" s="15" t="s">
        <v>114</v>
      </c>
      <c r="F29" s="15" t="s">
        <v>13</v>
      </c>
      <c r="G29" s="6"/>
      <c r="H29" s="6"/>
      <c r="I29" s="7"/>
      <c r="J29" s="7"/>
      <c r="K29" s="7"/>
      <c r="L29" s="7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9" t="s">
        <v>115</v>
      </c>
      <c r="B30" s="9" t="s">
        <v>77</v>
      </c>
      <c r="C30" s="9" t="s">
        <v>116</v>
      </c>
      <c r="D30" s="9" t="s">
        <v>117</v>
      </c>
      <c r="E30" s="9" t="s">
        <v>16</v>
      </c>
      <c r="F30" s="11" t="s">
        <v>22</v>
      </c>
      <c r="G30" s="11" t="s">
        <v>118</v>
      </c>
      <c r="H30" s="6"/>
      <c r="I30" s="7"/>
      <c r="J30" s="7"/>
      <c r="K30" s="7"/>
      <c r="L30" s="7"/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9" t="s">
        <v>119</v>
      </c>
      <c r="B31" s="9" t="s">
        <v>53</v>
      </c>
      <c r="C31" s="9" t="s">
        <v>120</v>
      </c>
      <c r="D31" s="9" t="s">
        <v>121</v>
      </c>
      <c r="E31" s="9" t="s">
        <v>16</v>
      </c>
      <c r="F31" s="11" t="s">
        <v>17</v>
      </c>
      <c r="G31" s="6"/>
      <c r="H31" s="6"/>
      <c r="I31" s="7"/>
      <c r="J31" s="7"/>
      <c r="K31" s="7"/>
      <c r="L31" s="7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6" t="s">
        <v>122</v>
      </c>
      <c r="B32" s="16" t="s">
        <v>123</v>
      </c>
      <c r="C32" s="16" t="s">
        <v>124</v>
      </c>
      <c r="D32" s="16" t="s">
        <v>125</v>
      </c>
      <c r="E32" s="16" t="s">
        <v>126</v>
      </c>
      <c r="F32" s="16" t="s">
        <v>127</v>
      </c>
      <c r="G32" s="6"/>
      <c r="H32" s="6"/>
      <c r="I32" s="7"/>
      <c r="J32" s="7"/>
      <c r="K32" s="7"/>
      <c r="L32" s="7"/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" t="s">
        <v>15</v>
      </c>
      <c r="B33" s="9" t="s">
        <v>15</v>
      </c>
      <c r="C33" s="9" t="s">
        <v>128</v>
      </c>
      <c r="D33" s="9" t="s">
        <v>129</v>
      </c>
      <c r="E33" s="9" t="s">
        <v>16</v>
      </c>
      <c r="F33" s="11" t="s">
        <v>13</v>
      </c>
      <c r="G33" s="11" t="s">
        <v>130</v>
      </c>
      <c r="H33" s="17" t="s">
        <v>131</v>
      </c>
      <c r="I33" s="7"/>
      <c r="J33" s="7"/>
      <c r="K33" s="7"/>
      <c r="L33" s="7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9" t="s">
        <v>132</v>
      </c>
      <c r="B34" s="9" t="s">
        <v>47</v>
      </c>
      <c r="C34" s="9" t="s">
        <v>133</v>
      </c>
      <c r="D34" s="9" t="s">
        <v>75</v>
      </c>
      <c r="E34" s="9" t="s">
        <v>16</v>
      </c>
      <c r="F34" s="11" t="s">
        <v>22</v>
      </c>
      <c r="G34" s="6"/>
      <c r="H34" s="6"/>
      <c r="I34" s="7"/>
      <c r="J34" s="7"/>
      <c r="K34" s="7"/>
      <c r="L34" s="7"/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9" t="s">
        <v>134</v>
      </c>
      <c r="B35" s="9" t="s">
        <v>135</v>
      </c>
      <c r="C35" s="9" t="s">
        <v>136</v>
      </c>
      <c r="D35" s="9" t="s">
        <v>137</v>
      </c>
      <c r="E35" s="9" t="s">
        <v>16</v>
      </c>
      <c r="F35" s="11" t="s">
        <v>22</v>
      </c>
      <c r="G35" s="6"/>
      <c r="H35" s="6"/>
      <c r="I35" s="7"/>
      <c r="J35" s="7"/>
      <c r="K35" s="7"/>
      <c r="L35" s="7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9" t="s">
        <v>138</v>
      </c>
      <c r="B36" s="9" t="s">
        <v>19</v>
      </c>
      <c r="C36" s="13" t="s">
        <v>139</v>
      </c>
      <c r="D36" s="9" t="s">
        <v>140</v>
      </c>
      <c r="E36" s="9" t="s">
        <v>16</v>
      </c>
      <c r="F36" s="11" t="s">
        <v>22</v>
      </c>
      <c r="G36" s="6"/>
      <c r="H36" s="6"/>
      <c r="I36" s="7"/>
      <c r="J36" s="7"/>
      <c r="K36" s="7"/>
      <c r="L36" s="7"/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9" t="s">
        <v>141</v>
      </c>
      <c r="B37" s="9" t="s">
        <v>47</v>
      </c>
      <c r="C37" s="13" t="s">
        <v>142</v>
      </c>
      <c r="D37" s="9" t="s">
        <v>143</v>
      </c>
      <c r="E37" s="9" t="s">
        <v>16</v>
      </c>
      <c r="F37" s="11" t="s">
        <v>17</v>
      </c>
      <c r="G37" s="6"/>
      <c r="H37" s="6"/>
      <c r="I37" s="7"/>
      <c r="J37" s="7"/>
      <c r="K37" s="7"/>
      <c r="L37" s="7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4" t="s">
        <v>144</v>
      </c>
      <c r="B38" s="4" t="s">
        <v>15</v>
      </c>
      <c r="C38" s="4" t="s">
        <v>145</v>
      </c>
      <c r="D38" s="4" t="s">
        <v>146</v>
      </c>
      <c r="E38" s="4" t="s">
        <v>12</v>
      </c>
      <c r="F38" s="4" t="s">
        <v>22</v>
      </c>
      <c r="G38" s="6"/>
      <c r="H38" s="6"/>
      <c r="I38" s="7"/>
      <c r="J38" s="7"/>
      <c r="K38" s="7"/>
      <c r="L38" s="7"/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4" t="s">
        <v>147</v>
      </c>
      <c r="B39" s="4" t="s">
        <v>9</v>
      </c>
      <c r="C39" s="4" t="s">
        <v>148</v>
      </c>
      <c r="D39" s="4" t="s">
        <v>149</v>
      </c>
      <c r="E39" s="4" t="s">
        <v>12</v>
      </c>
      <c r="F39" s="4" t="s">
        <v>50</v>
      </c>
      <c r="G39" s="6"/>
      <c r="H39" s="6"/>
      <c r="I39" s="7"/>
      <c r="J39" s="7"/>
      <c r="K39" s="7"/>
      <c r="L39" s="7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9" t="s">
        <v>150</v>
      </c>
      <c r="B40" s="9" t="s">
        <v>70</v>
      </c>
      <c r="C40" s="9" t="s">
        <v>151</v>
      </c>
      <c r="D40" s="9" t="s">
        <v>152</v>
      </c>
      <c r="E40" s="9" t="s">
        <v>16</v>
      </c>
      <c r="F40" s="11" t="s">
        <v>22</v>
      </c>
      <c r="G40" s="6"/>
      <c r="H40" s="6"/>
      <c r="I40" s="7"/>
      <c r="J40" s="7"/>
      <c r="K40" s="7"/>
      <c r="L40" s="7"/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9" t="s">
        <v>153</v>
      </c>
      <c r="B41" s="9" t="s">
        <v>53</v>
      </c>
      <c r="C41" s="9" t="s">
        <v>154</v>
      </c>
      <c r="D41" s="9" t="s">
        <v>155</v>
      </c>
      <c r="E41" s="9" t="s">
        <v>16</v>
      </c>
      <c r="F41" s="11" t="s">
        <v>22</v>
      </c>
      <c r="G41" s="6"/>
      <c r="H41" s="6"/>
      <c r="I41" s="7"/>
      <c r="J41" s="7"/>
      <c r="K41" s="7"/>
      <c r="L41" s="7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9" t="s">
        <v>156</v>
      </c>
      <c r="B42" s="9" t="s">
        <v>70</v>
      </c>
      <c r="C42" s="13" t="s">
        <v>157</v>
      </c>
      <c r="D42" s="9" t="s">
        <v>158</v>
      </c>
      <c r="E42" s="9" t="s">
        <v>16</v>
      </c>
      <c r="F42" s="11" t="s">
        <v>22</v>
      </c>
      <c r="G42" s="11" t="s">
        <v>159</v>
      </c>
      <c r="H42" s="6"/>
      <c r="I42" s="7"/>
      <c r="J42" s="7"/>
      <c r="K42" s="7"/>
      <c r="L42" s="7"/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4" t="s">
        <v>160</v>
      </c>
      <c r="B43" s="4" t="s">
        <v>161</v>
      </c>
      <c r="C43" s="4" t="s">
        <v>162</v>
      </c>
      <c r="D43" s="4" t="s">
        <v>163</v>
      </c>
      <c r="E43" s="4" t="s">
        <v>164</v>
      </c>
      <c r="F43" s="11" t="s">
        <v>22</v>
      </c>
      <c r="G43" s="11" t="s">
        <v>165</v>
      </c>
      <c r="H43" s="6"/>
      <c r="I43" s="7"/>
      <c r="J43" s="7"/>
      <c r="K43" s="7"/>
      <c r="L43" s="7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9" t="s">
        <v>166</v>
      </c>
      <c r="B44" s="9" t="s">
        <v>167</v>
      </c>
      <c r="C44" s="13" t="s">
        <v>168</v>
      </c>
      <c r="D44" s="9" t="s">
        <v>169</v>
      </c>
      <c r="E44" s="9" t="s">
        <v>16</v>
      </c>
      <c r="F44" s="11" t="s">
        <v>22</v>
      </c>
      <c r="G44" s="6"/>
      <c r="H44" s="6"/>
      <c r="I44" s="7"/>
      <c r="J44" s="7"/>
      <c r="K44" s="7"/>
      <c r="L44" s="7"/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9" t="s">
        <v>170</v>
      </c>
      <c r="B45" s="9" t="s">
        <v>47</v>
      </c>
      <c r="C45" s="9" t="s">
        <v>171</v>
      </c>
      <c r="D45" s="9" t="s">
        <v>49</v>
      </c>
      <c r="E45" s="9" t="s">
        <v>172</v>
      </c>
      <c r="F45" s="11" t="s">
        <v>17</v>
      </c>
      <c r="G45" s="11" t="s">
        <v>173</v>
      </c>
      <c r="H45" s="6"/>
      <c r="I45" s="7"/>
      <c r="J45" s="7"/>
      <c r="K45" s="7"/>
      <c r="L45" s="7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9" t="s">
        <v>174</v>
      </c>
      <c r="B46" s="9" t="s">
        <v>43</v>
      </c>
      <c r="C46" s="9" t="s">
        <v>175</v>
      </c>
      <c r="D46" s="9" t="s">
        <v>176</v>
      </c>
      <c r="E46" s="9" t="s">
        <v>16</v>
      </c>
      <c r="F46" s="6"/>
      <c r="G46" s="6"/>
      <c r="H46" s="6"/>
      <c r="I46" s="7"/>
      <c r="J46" s="7"/>
      <c r="K46" s="7"/>
      <c r="L46" s="7"/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9" t="s">
        <v>177</v>
      </c>
      <c r="B47" s="9" t="s">
        <v>53</v>
      </c>
      <c r="C47" s="9" t="s">
        <v>178</v>
      </c>
      <c r="D47" s="9" t="s">
        <v>152</v>
      </c>
      <c r="E47" s="9" t="s">
        <v>16</v>
      </c>
      <c r="F47" s="11" t="s">
        <v>22</v>
      </c>
      <c r="G47" s="6"/>
      <c r="H47" s="6"/>
      <c r="I47" s="7"/>
      <c r="J47" s="7"/>
      <c r="K47" s="7"/>
      <c r="L47" s="7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1" t="s">
        <v>179</v>
      </c>
      <c r="B48" s="11" t="s">
        <v>53</v>
      </c>
      <c r="C48" s="18" t="s">
        <v>180</v>
      </c>
      <c r="D48" s="11" t="s">
        <v>181</v>
      </c>
      <c r="E48" s="6"/>
      <c r="F48" s="6"/>
      <c r="G48" s="6"/>
      <c r="H48" s="6"/>
      <c r="I48" s="7"/>
      <c r="J48" s="7"/>
      <c r="K48" s="7"/>
      <c r="L48" s="7"/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9" t="s">
        <v>182</v>
      </c>
      <c r="B49" s="9" t="s">
        <v>182</v>
      </c>
      <c r="C49" s="9" t="s">
        <v>183</v>
      </c>
      <c r="D49" s="9" t="s">
        <v>184</v>
      </c>
      <c r="E49" s="9" t="s">
        <v>16</v>
      </c>
      <c r="F49" s="11" t="s">
        <v>13</v>
      </c>
      <c r="G49" s="6"/>
      <c r="H49" s="6"/>
      <c r="I49" s="7"/>
      <c r="J49" s="7"/>
      <c r="K49" s="7"/>
      <c r="L49" s="7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9" t="s">
        <v>185</v>
      </c>
      <c r="B50" s="9" t="s">
        <v>43</v>
      </c>
      <c r="C50" s="9" t="s">
        <v>186</v>
      </c>
      <c r="D50" s="9" t="s">
        <v>187</v>
      </c>
      <c r="E50" s="9" t="s">
        <v>16</v>
      </c>
      <c r="F50" s="11" t="s">
        <v>22</v>
      </c>
      <c r="G50" s="6"/>
      <c r="H50" s="6"/>
      <c r="I50" s="7"/>
      <c r="J50" s="7"/>
      <c r="K50" s="7"/>
      <c r="L50" s="7"/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9" t="s">
        <v>188</v>
      </c>
      <c r="B51" s="9" t="s">
        <v>70</v>
      </c>
      <c r="C51" s="9" t="s">
        <v>189</v>
      </c>
      <c r="D51" s="9" t="s">
        <v>152</v>
      </c>
      <c r="E51" s="9" t="s">
        <v>16</v>
      </c>
      <c r="F51" s="11" t="s">
        <v>22</v>
      </c>
      <c r="G51" s="6"/>
      <c r="H51" s="6"/>
      <c r="I51" s="7"/>
      <c r="J51" s="7"/>
      <c r="K51" s="7"/>
      <c r="L51" s="7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9" t="s">
        <v>190</v>
      </c>
      <c r="B52" s="9" t="s">
        <v>191</v>
      </c>
      <c r="C52" s="9" t="s">
        <v>192</v>
      </c>
      <c r="D52" s="9" t="s">
        <v>193</v>
      </c>
      <c r="E52" s="9" t="s">
        <v>16</v>
      </c>
      <c r="F52" s="9" t="s">
        <v>13</v>
      </c>
      <c r="G52" s="6"/>
      <c r="H52" s="6"/>
      <c r="I52" s="7"/>
      <c r="J52" s="7"/>
      <c r="K52" s="7"/>
      <c r="L52" s="7"/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9" t="s">
        <v>194</v>
      </c>
      <c r="B53" s="9" t="s">
        <v>25</v>
      </c>
      <c r="C53" s="9" t="s">
        <v>195</v>
      </c>
      <c r="D53" s="9" t="s">
        <v>196</v>
      </c>
      <c r="E53" s="9" t="s">
        <v>16</v>
      </c>
      <c r="F53" s="11" t="s">
        <v>50</v>
      </c>
      <c r="G53" s="6"/>
      <c r="H53" s="6"/>
      <c r="I53" s="7"/>
      <c r="J53" s="7"/>
      <c r="K53" s="7"/>
      <c r="L53" s="7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9" t="s">
        <v>25</v>
      </c>
      <c r="B54" s="9" t="s">
        <v>47</v>
      </c>
      <c r="C54" s="9" t="s">
        <v>197</v>
      </c>
      <c r="D54" s="9" t="s">
        <v>198</v>
      </c>
      <c r="E54" s="9" t="s">
        <v>16</v>
      </c>
      <c r="F54" s="11" t="s">
        <v>17</v>
      </c>
      <c r="G54" s="11" t="s">
        <v>199</v>
      </c>
      <c r="H54" s="6"/>
      <c r="I54" s="7"/>
      <c r="J54" s="7"/>
      <c r="K54" s="7"/>
      <c r="L54" s="7"/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1" t="s">
        <v>200</v>
      </c>
      <c r="B55" s="11" t="s">
        <v>70</v>
      </c>
      <c r="C55" s="14" t="s">
        <v>201</v>
      </c>
      <c r="D55" s="19" t="s">
        <v>202</v>
      </c>
      <c r="E55" s="11"/>
      <c r="F55" s="6"/>
      <c r="G55" s="6"/>
      <c r="H55" s="11" t="s">
        <v>203</v>
      </c>
      <c r="I55" s="7"/>
      <c r="J55" s="7"/>
      <c r="K55" s="7"/>
      <c r="L55" s="7"/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9" t="s">
        <v>204</v>
      </c>
      <c r="B56" s="9" t="s">
        <v>47</v>
      </c>
      <c r="C56" s="13" t="s">
        <v>205</v>
      </c>
      <c r="D56" s="9" t="s">
        <v>206</v>
      </c>
      <c r="E56" s="9" t="s">
        <v>16</v>
      </c>
      <c r="F56" s="11" t="s">
        <v>17</v>
      </c>
      <c r="G56" s="11" t="s">
        <v>207</v>
      </c>
      <c r="H56" s="6"/>
      <c r="I56" s="7"/>
      <c r="J56" s="7"/>
      <c r="K56" s="7"/>
      <c r="L56" s="7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9" t="s">
        <v>208</v>
      </c>
      <c r="B57" s="9" t="s">
        <v>209</v>
      </c>
      <c r="C57" s="9" t="s">
        <v>210</v>
      </c>
      <c r="D57" s="9" t="s">
        <v>169</v>
      </c>
      <c r="E57" s="9" t="s">
        <v>16</v>
      </c>
      <c r="F57" s="11" t="s">
        <v>22</v>
      </c>
      <c r="G57" s="11" t="s">
        <v>211</v>
      </c>
      <c r="H57" s="6"/>
      <c r="I57" s="7"/>
      <c r="J57" s="7"/>
      <c r="K57" s="7"/>
      <c r="L57" s="7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9" t="s">
        <v>212</v>
      </c>
      <c r="B58" s="9" t="s">
        <v>70</v>
      </c>
      <c r="C58" s="9" t="s">
        <v>213</v>
      </c>
      <c r="D58" s="9" t="s">
        <v>152</v>
      </c>
      <c r="E58" s="9" t="s">
        <v>16</v>
      </c>
      <c r="F58" s="11" t="s">
        <v>22</v>
      </c>
      <c r="G58" s="11" t="s">
        <v>214</v>
      </c>
      <c r="H58" s="6"/>
      <c r="I58" s="7"/>
      <c r="J58" s="7"/>
      <c r="K58" s="7"/>
      <c r="L58" s="7"/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1" t="s">
        <v>215</v>
      </c>
      <c r="B59" s="11" t="s">
        <v>135</v>
      </c>
      <c r="C59" s="14" t="s">
        <v>216</v>
      </c>
      <c r="D59" s="14" t="s">
        <v>217</v>
      </c>
      <c r="E59" s="11" t="s">
        <v>161</v>
      </c>
      <c r="F59" s="6"/>
      <c r="G59" s="11" t="s">
        <v>218</v>
      </c>
      <c r="H59" s="6"/>
      <c r="I59" s="7"/>
      <c r="J59" s="7"/>
      <c r="K59" s="7"/>
      <c r="L59" s="7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9" t="s">
        <v>219</v>
      </c>
      <c r="B60" s="9" t="s">
        <v>47</v>
      </c>
      <c r="C60" s="13" t="s">
        <v>220</v>
      </c>
      <c r="D60" s="9" t="s">
        <v>221</v>
      </c>
      <c r="E60" s="9" t="s">
        <v>16</v>
      </c>
      <c r="F60" s="11" t="s">
        <v>22</v>
      </c>
      <c r="G60" s="6"/>
      <c r="H60" s="6"/>
      <c r="I60" s="7"/>
      <c r="J60" s="7"/>
      <c r="K60" s="7"/>
      <c r="L60" s="7"/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5" t="s">
        <v>222</v>
      </c>
      <c r="B61" s="15" t="s">
        <v>135</v>
      </c>
      <c r="C61" s="15" t="s">
        <v>223</v>
      </c>
      <c r="D61" s="15" t="s">
        <v>224</v>
      </c>
      <c r="E61" s="15" t="s">
        <v>114</v>
      </c>
      <c r="F61" s="15" t="s">
        <v>13</v>
      </c>
      <c r="G61" s="20"/>
      <c r="H61" s="6"/>
      <c r="I61" s="7"/>
      <c r="J61" s="7"/>
      <c r="K61" s="7"/>
      <c r="L61" s="7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9" t="s">
        <v>225</v>
      </c>
      <c r="B62" s="9" t="s">
        <v>53</v>
      </c>
      <c r="C62" s="9" t="s">
        <v>226</v>
      </c>
      <c r="D62" s="9" t="s">
        <v>227</v>
      </c>
      <c r="E62" s="9" t="s">
        <v>172</v>
      </c>
      <c r="F62" s="11" t="s">
        <v>22</v>
      </c>
      <c r="G62" s="6"/>
      <c r="H62" s="6"/>
      <c r="I62" s="7"/>
      <c r="J62" s="7"/>
      <c r="K62" s="7"/>
      <c r="L62" s="7"/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9" t="s">
        <v>228</v>
      </c>
      <c r="B63" s="9" t="s">
        <v>229</v>
      </c>
      <c r="C63" s="9" t="s">
        <v>230</v>
      </c>
      <c r="D63" s="9" t="s">
        <v>231</v>
      </c>
      <c r="E63" s="9" t="s">
        <v>16</v>
      </c>
      <c r="F63" s="11" t="s">
        <v>13</v>
      </c>
      <c r="G63" s="11" t="s">
        <v>232</v>
      </c>
      <c r="H63" s="15" t="s">
        <v>233</v>
      </c>
      <c r="I63" s="7"/>
      <c r="J63" s="7"/>
      <c r="K63" s="7"/>
      <c r="L63" s="7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9" t="s">
        <v>234</v>
      </c>
      <c r="B64" s="9" t="s">
        <v>70</v>
      </c>
      <c r="C64" s="9" t="s">
        <v>235</v>
      </c>
      <c r="D64" s="9" t="s">
        <v>236</v>
      </c>
      <c r="E64" s="9" t="s">
        <v>16</v>
      </c>
      <c r="F64" s="11" t="s">
        <v>22</v>
      </c>
      <c r="G64" s="6"/>
      <c r="H64" s="6"/>
      <c r="I64" s="7"/>
      <c r="J64" s="7"/>
      <c r="K64" s="7"/>
      <c r="L64" s="7"/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21"/>
      <c r="B65" s="21"/>
      <c r="C65" s="21"/>
      <c r="D65" s="21"/>
      <c r="E65" s="21"/>
      <c r="F65" s="21"/>
      <c r="G65" s="6"/>
      <c r="H65" s="6"/>
      <c r="I65" s="7"/>
      <c r="J65" s="7"/>
      <c r="K65" s="7"/>
      <c r="L65" s="7"/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21"/>
      <c r="B66" s="21"/>
      <c r="C66" s="21"/>
      <c r="D66" s="21"/>
      <c r="E66" s="21"/>
      <c r="F66" s="21"/>
      <c r="G66" s="6"/>
      <c r="H66" s="6"/>
      <c r="I66" s="7"/>
      <c r="J66" s="7"/>
      <c r="K66" s="7"/>
      <c r="L66" s="7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21"/>
      <c r="B67" s="21"/>
      <c r="C67" s="21"/>
      <c r="D67" s="21"/>
      <c r="E67" s="21"/>
      <c r="F67" s="21"/>
      <c r="G67" s="6"/>
      <c r="H67" s="6"/>
      <c r="I67" s="7"/>
      <c r="J67" s="7"/>
      <c r="K67" s="7"/>
      <c r="L67" s="7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21"/>
      <c r="B68" s="21"/>
      <c r="C68" s="21"/>
      <c r="D68" s="21"/>
      <c r="E68" s="21"/>
      <c r="F68" s="21"/>
      <c r="G68" s="6"/>
      <c r="H68" s="22" t="s">
        <v>172</v>
      </c>
      <c r="I68" s="7"/>
      <c r="J68" s="7"/>
      <c r="K68" s="7"/>
      <c r="L68" s="7"/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3"/>
      <c r="B69" s="23"/>
      <c r="C69" s="23"/>
      <c r="D69" s="23"/>
      <c r="E69" s="23"/>
      <c r="F69" s="23"/>
      <c r="G69" s="7"/>
      <c r="H69" s="24" t="s">
        <v>237</v>
      </c>
      <c r="I69" s="7"/>
      <c r="J69" s="7"/>
      <c r="K69" s="7"/>
      <c r="L69" s="7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25"/>
      <c r="B70" s="25"/>
      <c r="C70" s="25"/>
      <c r="D70" s="25"/>
      <c r="E70" s="25"/>
      <c r="F70" s="25"/>
      <c r="G70" s="25"/>
      <c r="H70" s="3"/>
      <c r="I70" s="3"/>
      <c r="J70" s="3"/>
      <c r="K70" s="3"/>
      <c r="L70" s="3"/>
    </row>
    <row r="7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</sheetData>
  <hyperlinks>
    <hyperlink r:id="rId1" ref="C10"/>
    <hyperlink r:id="rId2" ref="C14"/>
    <hyperlink r:id="rId3" ref="C25"/>
    <hyperlink r:id="rId4" ref="C27"/>
    <hyperlink r:id="rId5" ref="C36"/>
    <hyperlink r:id="rId6" ref="C37"/>
    <hyperlink r:id="rId7" ref="C42"/>
    <hyperlink r:id="rId8" ref="C44"/>
    <hyperlink r:id="rId9" ref="C56"/>
    <hyperlink r:id="rId10" ref="C60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3.38"/>
    <col customWidth="1" min="3" max="3" width="24.75"/>
    <col customWidth="1" min="4" max="4" width="13.5"/>
    <col customWidth="1" min="5" max="5" width="12.38"/>
    <col customWidth="1" min="6" max="6" width="21.75"/>
    <col customWidth="1" min="7" max="7" width="23.88"/>
  </cols>
  <sheetData>
    <row r="1" ht="25.5" customHeight="1">
      <c r="A1" s="26" t="s">
        <v>238</v>
      </c>
      <c r="B1" s="27" t="s">
        <v>17</v>
      </c>
      <c r="C1" s="28" t="s">
        <v>239</v>
      </c>
      <c r="D1" s="29" t="s">
        <v>240</v>
      </c>
      <c r="E1" s="30" t="s">
        <v>241</v>
      </c>
      <c r="F1" s="31" t="s">
        <v>242</v>
      </c>
      <c r="G1" s="32" t="s">
        <v>243</v>
      </c>
    </row>
    <row r="2">
      <c r="A2" s="33" t="s">
        <v>244</v>
      </c>
      <c r="B2" s="34" t="s">
        <v>53</v>
      </c>
      <c r="C2" s="35" t="s">
        <v>245</v>
      </c>
      <c r="D2" s="36" t="s">
        <v>246</v>
      </c>
      <c r="E2" s="37" t="s">
        <v>16</v>
      </c>
      <c r="F2" s="38"/>
      <c r="G2" s="39" t="s">
        <v>247</v>
      </c>
    </row>
    <row r="3">
      <c r="A3" s="40" t="s">
        <v>8</v>
      </c>
      <c r="B3" s="41" t="s">
        <v>53</v>
      </c>
      <c r="C3" s="42" t="s">
        <v>10</v>
      </c>
      <c r="D3" s="43" t="s">
        <v>11</v>
      </c>
      <c r="E3" s="44" t="s">
        <v>12</v>
      </c>
      <c r="F3" s="45" t="s">
        <v>248</v>
      </c>
      <c r="G3" s="39" t="s">
        <v>249</v>
      </c>
      <c r="H3" s="46" t="s">
        <v>250</v>
      </c>
    </row>
    <row r="4">
      <c r="A4" s="40" t="s">
        <v>24</v>
      </c>
      <c r="B4" s="47" t="s">
        <v>25</v>
      </c>
      <c r="C4" s="42" t="s">
        <v>26</v>
      </c>
      <c r="D4" s="48" t="s">
        <v>27</v>
      </c>
      <c r="E4" s="44" t="s">
        <v>16</v>
      </c>
      <c r="F4" s="45" t="s">
        <v>248</v>
      </c>
      <c r="G4" s="39" t="s">
        <v>251</v>
      </c>
      <c r="H4" s="46" t="s">
        <v>252</v>
      </c>
    </row>
    <row r="5">
      <c r="A5" s="49" t="s">
        <v>253</v>
      </c>
      <c r="B5" s="49" t="s">
        <v>253</v>
      </c>
      <c r="C5" s="49" t="s">
        <v>254</v>
      </c>
      <c r="D5" s="49" t="s">
        <v>255</v>
      </c>
      <c r="E5" s="49" t="s">
        <v>256</v>
      </c>
      <c r="F5" s="50" t="s">
        <v>257</v>
      </c>
      <c r="G5" s="51"/>
      <c r="H5" s="52" t="s">
        <v>258</v>
      </c>
    </row>
    <row r="6">
      <c r="A6" s="40" t="s">
        <v>29</v>
      </c>
      <c r="B6" s="47" t="s">
        <v>29</v>
      </c>
      <c r="C6" s="42" t="s">
        <v>30</v>
      </c>
      <c r="D6" s="48" t="s">
        <v>31</v>
      </c>
      <c r="E6" s="44" t="s">
        <v>16</v>
      </c>
      <c r="F6" s="45">
        <v>16.0</v>
      </c>
      <c r="G6" s="39" t="s">
        <v>13</v>
      </c>
      <c r="H6" s="46">
        <v>16.0</v>
      </c>
    </row>
    <row r="7">
      <c r="A7" s="40" t="s">
        <v>33</v>
      </c>
      <c r="B7" s="47" t="s">
        <v>25</v>
      </c>
      <c r="C7" s="42" t="s">
        <v>35</v>
      </c>
      <c r="D7" s="48" t="s">
        <v>36</v>
      </c>
      <c r="E7" s="44" t="s">
        <v>16</v>
      </c>
      <c r="F7" s="45" t="s">
        <v>248</v>
      </c>
      <c r="G7" s="39" t="s">
        <v>251</v>
      </c>
      <c r="H7" s="46" t="s">
        <v>252</v>
      </c>
    </row>
    <row r="8">
      <c r="A8" s="40" t="s">
        <v>63</v>
      </c>
      <c r="B8" s="47" t="s">
        <v>47</v>
      </c>
      <c r="C8" s="53" t="s">
        <v>259</v>
      </c>
      <c r="D8" s="48" t="s">
        <v>49</v>
      </c>
      <c r="E8" s="44" t="s">
        <v>16</v>
      </c>
      <c r="F8" s="45">
        <v>16.0</v>
      </c>
      <c r="G8" s="39" t="s">
        <v>13</v>
      </c>
      <c r="H8" s="46">
        <v>16.0</v>
      </c>
    </row>
    <row r="9">
      <c r="A9" s="40" t="s">
        <v>69</v>
      </c>
      <c r="B9" s="47" t="s">
        <v>260</v>
      </c>
      <c r="C9" s="42" t="s">
        <v>71</v>
      </c>
      <c r="D9" s="48" t="s">
        <v>72</v>
      </c>
      <c r="E9" s="44" t="s">
        <v>12</v>
      </c>
      <c r="F9" s="38"/>
      <c r="G9" s="39" t="s">
        <v>13</v>
      </c>
      <c r="H9" s="46" t="s">
        <v>261</v>
      </c>
    </row>
    <row r="10">
      <c r="A10" s="54" t="s">
        <v>92</v>
      </c>
      <c r="B10" s="34" t="s">
        <v>262</v>
      </c>
      <c r="C10" s="55" t="s">
        <v>93</v>
      </c>
      <c r="D10" s="56" t="s">
        <v>94</v>
      </c>
      <c r="E10" s="57" t="s">
        <v>16</v>
      </c>
      <c r="F10" s="38"/>
      <c r="G10" s="39" t="s">
        <v>13</v>
      </c>
      <c r="H10" s="46">
        <v>16.0</v>
      </c>
    </row>
    <row r="11">
      <c r="A11" s="40" t="s">
        <v>98</v>
      </c>
      <c r="B11" s="47" t="s">
        <v>47</v>
      </c>
      <c r="C11" s="53" t="s">
        <v>99</v>
      </c>
      <c r="D11" s="48" t="s">
        <v>100</v>
      </c>
      <c r="E11" s="44" t="s">
        <v>16</v>
      </c>
      <c r="F11" s="45" t="s">
        <v>263</v>
      </c>
      <c r="G11" s="39" t="s">
        <v>249</v>
      </c>
      <c r="H11" s="46" t="s">
        <v>264</v>
      </c>
    </row>
    <row r="12">
      <c r="A12" s="40" t="s">
        <v>115</v>
      </c>
      <c r="B12" s="41" t="s">
        <v>53</v>
      </c>
      <c r="C12" s="42" t="s">
        <v>116</v>
      </c>
      <c r="D12" s="48" t="s">
        <v>117</v>
      </c>
      <c r="E12" s="44" t="s">
        <v>16</v>
      </c>
      <c r="F12" s="45" t="s">
        <v>252</v>
      </c>
      <c r="G12" s="39" t="s">
        <v>251</v>
      </c>
      <c r="H12" s="46" t="s">
        <v>265</v>
      </c>
    </row>
    <row r="13">
      <c r="A13" s="40" t="s">
        <v>119</v>
      </c>
      <c r="B13" s="47" t="s">
        <v>53</v>
      </c>
      <c r="C13" s="42" t="s">
        <v>120</v>
      </c>
      <c r="D13" s="48" t="s">
        <v>121</v>
      </c>
      <c r="E13" s="44" t="s">
        <v>16</v>
      </c>
      <c r="F13" s="45" t="s">
        <v>266</v>
      </c>
      <c r="G13" s="39" t="s">
        <v>13</v>
      </c>
      <c r="H13" s="46" t="s">
        <v>267</v>
      </c>
    </row>
    <row r="14">
      <c r="A14" s="40" t="s">
        <v>15</v>
      </c>
      <c r="B14" s="47" t="s">
        <v>15</v>
      </c>
      <c r="C14" s="42" t="s">
        <v>128</v>
      </c>
      <c r="D14" s="48" t="s">
        <v>129</v>
      </c>
      <c r="E14" s="44" t="s">
        <v>16</v>
      </c>
      <c r="F14" s="45">
        <v>16.0</v>
      </c>
      <c r="G14" s="39" t="s">
        <v>13</v>
      </c>
      <c r="H14" s="46" t="s">
        <v>250</v>
      </c>
    </row>
    <row r="15">
      <c r="A15" s="50" t="s">
        <v>268</v>
      </c>
      <c r="B15" s="50" t="s">
        <v>268</v>
      </c>
      <c r="C15" s="58" t="s">
        <v>269</v>
      </c>
      <c r="D15" s="58" t="s">
        <v>270</v>
      </c>
      <c r="E15" s="59" t="s">
        <v>23</v>
      </c>
      <c r="F15" s="60"/>
      <c r="G15" s="51" t="s">
        <v>13</v>
      </c>
      <c r="H15" s="52" t="s">
        <v>258</v>
      </c>
    </row>
    <row r="16">
      <c r="A16" s="40" t="s">
        <v>156</v>
      </c>
      <c r="B16" s="41" t="s">
        <v>70</v>
      </c>
      <c r="C16" s="53" t="s">
        <v>157</v>
      </c>
      <c r="D16" s="48" t="s">
        <v>158</v>
      </c>
      <c r="E16" s="44" t="s">
        <v>16</v>
      </c>
      <c r="F16" s="61">
        <v>500300.0</v>
      </c>
      <c r="G16" s="39" t="s">
        <v>13</v>
      </c>
      <c r="H16" s="46">
        <v>16.0</v>
      </c>
    </row>
    <row r="17">
      <c r="A17" s="40" t="s">
        <v>170</v>
      </c>
      <c r="B17" s="47" t="s">
        <v>47</v>
      </c>
      <c r="C17" s="42" t="s">
        <v>171</v>
      </c>
      <c r="D17" s="48" t="s">
        <v>49</v>
      </c>
      <c r="E17" s="62" t="s">
        <v>16</v>
      </c>
      <c r="F17" s="38"/>
      <c r="G17" s="39" t="s">
        <v>271</v>
      </c>
    </row>
    <row r="18">
      <c r="A18" s="50" t="s">
        <v>272</v>
      </c>
      <c r="B18" s="50" t="s">
        <v>272</v>
      </c>
      <c r="C18" s="58" t="s">
        <v>273</v>
      </c>
      <c r="D18" s="58" t="s">
        <v>274</v>
      </c>
      <c r="E18" s="49" t="s">
        <v>16</v>
      </c>
      <c r="F18" s="50"/>
      <c r="G18" s="51" t="s">
        <v>275</v>
      </c>
      <c r="H18" s="52" t="s">
        <v>258</v>
      </c>
    </row>
    <row r="19">
      <c r="A19" s="40" t="s">
        <v>179</v>
      </c>
      <c r="B19" s="47" t="s">
        <v>53</v>
      </c>
      <c r="C19" s="63" t="s">
        <v>180</v>
      </c>
      <c r="D19" s="48" t="s">
        <v>276</v>
      </c>
      <c r="E19" s="44" t="s">
        <v>16</v>
      </c>
      <c r="F19" s="38"/>
      <c r="G19" s="39" t="s">
        <v>251</v>
      </c>
      <c r="H19" s="46" t="s">
        <v>277</v>
      </c>
    </row>
    <row r="20">
      <c r="A20" s="54" t="s">
        <v>182</v>
      </c>
      <c r="B20" s="64" t="s">
        <v>182</v>
      </c>
      <c r="C20" s="55" t="s">
        <v>278</v>
      </c>
      <c r="D20" s="56" t="s">
        <v>184</v>
      </c>
      <c r="E20" s="57" t="s">
        <v>16</v>
      </c>
      <c r="F20" s="38"/>
      <c r="G20" s="39" t="s">
        <v>13</v>
      </c>
      <c r="H20" s="46"/>
    </row>
    <row r="21">
      <c r="A21" s="40" t="s">
        <v>25</v>
      </c>
      <c r="B21" s="47" t="s">
        <v>47</v>
      </c>
      <c r="C21" s="42" t="s">
        <v>197</v>
      </c>
      <c r="D21" s="48" t="s">
        <v>198</v>
      </c>
      <c r="E21" s="44" t="s">
        <v>16</v>
      </c>
      <c r="F21" s="45" t="s">
        <v>279</v>
      </c>
      <c r="G21" s="39" t="s">
        <v>13</v>
      </c>
      <c r="H21" s="46" t="s">
        <v>280</v>
      </c>
    </row>
    <row r="22">
      <c r="A22" s="40" t="s">
        <v>204</v>
      </c>
      <c r="B22" s="47" t="s">
        <v>47</v>
      </c>
      <c r="C22" s="53" t="s">
        <v>205</v>
      </c>
      <c r="D22" s="48" t="s">
        <v>206</v>
      </c>
      <c r="E22" s="44" t="s">
        <v>16</v>
      </c>
      <c r="F22" s="61">
        <v>500100.0</v>
      </c>
      <c r="G22" s="39" t="s">
        <v>13</v>
      </c>
      <c r="H22" s="46">
        <v>16.0</v>
      </c>
    </row>
    <row r="23">
      <c r="A23" s="40" t="s">
        <v>212</v>
      </c>
      <c r="B23" s="41" t="s">
        <v>53</v>
      </c>
      <c r="C23" s="42" t="s">
        <v>213</v>
      </c>
      <c r="D23" s="48" t="s">
        <v>152</v>
      </c>
      <c r="E23" s="44" t="s">
        <v>16</v>
      </c>
      <c r="F23" s="38"/>
      <c r="G23" s="39" t="s">
        <v>281</v>
      </c>
      <c r="H23" s="46" t="s">
        <v>247</v>
      </c>
    </row>
    <row r="24">
      <c r="A24" s="40" t="s">
        <v>222</v>
      </c>
      <c r="B24" s="47" t="s">
        <v>222</v>
      </c>
      <c r="C24" s="42" t="s">
        <v>223</v>
      </c>
      <c r="D24" s="48" t="s">
        <v>224</v>
      </c>
      <c r="E24" s="62" t="s">
        <v>12</v>
      </c>
      <c r="F24" s="38"/>
      <c r="G24" s="39" t="s">
        <v>13</v>
      </c>
      <c r="H24" s="46" t="s">
        <v>282</v>
      </c>
    </row>
    <row r="25">
      <c r="A25" s="65" t="s">
        <v>228</v>
      </c>
      <c r="B25" s="41" t="s">
        <v>229</v>
      </c>
      <c r="C25" s="66" t="s">
        <v>230</v>
      </c>
      <c r="D25" s="67" t="s">
        <v>231</v>
      </c>
      <c r="E25" s="62" t="s">
        <v>16</v>
      </c>
      <c r="F25" s="38"/>
      <c r="G25" s="39" t="s">
        <v>13</v>
      </c>
      <c r="H25" s="46">
        <v>16.0</v>
      </c>
    </row>
    <row r="26">
      <c r="A26" s="33" t="s">
        <v>283</v>
      </c>
      <c r="B26" s="34" t="s">
        <v>283</v>
      </c>
      <c r="C26" s="68" t="s">
        <v>103</v>
      </c>
      <c r="D26" s="69" t="s">
        <v>104</v>
      </c>
      <c r="E26" s="62" t="s">
        <v>16</v>
      </c>
      <c r="F26" s="38"/>
      <c r="G26" s="39" t="s">
        <v>13</v>
      </c>
      <c r="H26" s="46" t="s">
        <v>284</v>
      </c>
    </row>
    <row r="27">
      <c r="A27" s="70" t="s">
        <v>285</v>
      </c>
      <c r="B27" s="71" t="s">
        <v>286</v>
      </c>
      <c r="C27" s="35" t="s">
        <v>287</v>
      </c>
      <c r="D27" s="69" t="s">
        <v>288</v>
      </c>
      <c r="E27" s="72"/>
      <c r="F27" s="73"/>
      <c r="G27" s="74"/>
      <c r="H27" s="46"/>
    </row>
    <row r="28">
      <c r="A28" s="75"/>
      <c r="B28" s="76"/>
      <c r="C28" s="77"/>
      <c r="D28" s="78"/>
      <c r="E28" s="72"/>
      <c r="F28" s="73"/>
      <c r="G28" s="74"/>
    </row>
    <row r="29">
      <c r="A29" s="75"/>
      <c r="B29" s="76"/>
      <c r="C29" s="77"/>
      <c r="D29" s="78"/>
      <c r="E29" s="72"/>
      <c r="F29" s="73"/>
      <c r="G29" s="74"/>
      <c r="H29" s="46"/>
    </row>
    <row r="30">
      <c r="A30" s="75"/>
      <c r="B30" s="76"/>
      <c r="C30" s="77"/>
      <c r="D30" s="78"/>
      <c r="E30" s="72"/>
      <c r="F30" s="73"/>
      <c r="G30" s="74"/>
      <c r="H30" s="46"/>
    </row>
    <row r="31">
      <c r="A31" s="75"/>
      <c r="B31" s="76"/>
      <c r="C31" s="77"/>
      <c r="D31" s="78"/>
      <c r="E31" s="72"/>
      <c r="F31" s="73"/>
      <c r="G31" s="74"/>
    </row>
    <row r="32">
      <c r="A32" s="75"/>
      <c r="B32" s="76"/>
      <c r="C32" s="77"/>
      <c r="D32" s="78"/>
      <c r="E32" s="72"/>
      <c r="F32" s="73"/>
      <c r="G32" s="79"/>
    </row>
    <row r="33">
      <c r="A33" s="75"/>
      <c r="B33" s="76"/>
      <c r="C33" s="77"/>
      <c r="D33" s="78"/>
      <c r="E33" s="72"/>
      <c r="F33" s="73"/>
      <c r="G33" s="74"/>
    </row>
    <row r="34">
      <c r="A34" s="75"/>
      <c r="B34" s="76"/>
      <c r="C34" s="77"/>
      <c r="D34" s="78"/>
      <c r="E34" s="72"/>
      <c r="F34" s="73"/>
      <c r="G34" s="74"/>
    </row>
    <row r="35">
      <c r="A35" s="75"/>
      <c r="B35" s="76"/>
      <c r="C35" s="77"/>
      <c r="D35" s="78"/>
      <c r="E35" s="72"/>
      <c r="F35" s="73"/>
      <c r="G35" s="74"/>
    </row>
    <row r="36">
      <c r="A36" s="75"/>
      <c r="B36" s="76"/>
      <c r="C36" s="77"/>
      <c r="D36" s="78"/>
      <c r="E36" s="72"/>
      <c r="F36" s="73"/>
      <c r="G36" s="74"/>
    </row>
  </sheetData>
  <hyperlinks>
    <hyperlink r:id="rId1" ref="C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7.0"/>
    <col customWidth="1" min="8" max="8" width="16.13"/>
  </cols>
  <sheetData>
    <row r="1">
      <c r="A1" s="80" t="s">
        <v>289</v>
      </c>
      <c r="B1" s="81" t="s">
        <v>290</v>
      </c>
      <c r="C1" s="82" t="s">
        <v>2</v>
      </c>
      <c r="D1" s="83"/>
      <c r="E1" s="84" t="s">
        <v>3</v>
      </c>
      <c r="F1" s="85" t="s">
        <v>242</v>
      </c>
      <c r="G1" s="86" t="s">
        <v>291</v>
      </c>
      <c r="H1" s="32" t="s">
        <v>243</v>
      </c>
    </row>
    <row r="2">
      <c r="A2" s="87">
        <v>700300.0</v>
      </c>
      <c r="B2" s="64" t="s">
        <v>292</v>
      </c>
      <c r="C2" s="55" t="s">
        <v>293</v>
      </c>
      <c r="D2" s="88"/>
      <c r="E2" s="89" t="s">
        <v>294</v>
      </c>
      <c r="F2" s="73"/>
      <c r="G2" s="72"/>
      <c r="H2" s="90"/>
    </row>
    <row r="3">
      <c r="B3" s="41" t="s">
        <v>295</v>
      </c>
      <c r="C3" s="91" t="s">
        <v>197</v>
      </c>
      <c r="D3" s="88"/>
      <c r="E3" s="48" t="s">
        <v>198</v>
      </c>
      <c r="F3" s="92"/>
      <c r="H3" s="93">
        <v>2097.0</v>
      </c>
    </row>
    <row r="4">
      <c r="A4" s="94">
        <v>700100.0</v>
      </c>
      <c r="B4" s="95" t="s">
        <v>296</v>
      </c>
      <c r="C4" s="96" t="s">
        <v>297</v>
      </c>
      <c r="D4" s="88"/>
      <c r="E4" s="97" t="s">
        <v>298</v>
      </c>
      <c r="F4" s="92"/>
      <c r="H4" s="98" t="s">
        <v>299</v>
      </c>
    </row>
    <row r="5">
      <c r="A5" s="94" t="s">
        <v>300</v>
      </c>
      <c r="B5" s="99" t="s">
        <v>301</v>
      </c>
      <c r="C5" s="100" t="s">
        <v>302</v>
      </c>
      <c r="D5" s="101"/>
      <c r="E5" s="102" t="s">
        <v>152</v>
      </c>
      <c r="F5" s="92"/>
    </row>
    <row r="6">
      <c r="A6" s="94">
        <v>100500.0</v>
      </c>
      <c r="B6" s="47" t="s">
        <v>204</v>
      </c>
      <c r="C6" s="53" t="s">
        <v>205</v>
      </c>
      <c r="D6" s="88"/>
      <c r="E6" s="48" t="s">
        <v>206</v>
      </c>
      <c r="F6" s="92"/>
    </row>
    <row r="7">
      <c r="A7" s="94">
        <v>500500.0</v>
      </c>
      <c r="B7" s="41" t="s">
        <v>228</v>
      </c>
      <c r="C7" s="66" t="s">
        <v>230</v>
      </c>
      <c r="D7" s="88"/>
      <c r="E7" s="103" t="s">
        <v>231</v>
      </c>
      <c r="F7" s="92"/>
    </row>
    <row r="8">
      <c r="A8" s="94">
        <v>700500.0</v>
      </c>
      <c r="B8" s="104" t="s">
        <v>303</v>
      </c>
      <c r="C8" s="105" t="s">
        <v>304</v>
      </c>
      <c r="D8" s="88"/>
      <c r="E8" s="89" t="s">
        <v>305</v>
      </c>
    </row>
    <row r="9">
      <c r="A9" s="94">
        <v>300700.0</v>
      </c>
      <c r="B9" s="47" t="s">
        <v>29</v>
      </c>
      <c r="C9" s="91" t="s">
        <v>30</v>
      </c>
      <c r="D9" s="88"/>
      <c r="E9" s="48" t="s">
        <v>31</v>
      </c>
      <c r="H9" s="106" t="s">
        <v>306</v>
      </c>
    </row>
    <row r="10">
      <c r="A10" s="94">
        <v>500700.0</v>
      </c>
      <c r="B10" s="99" t="s">
        <v>92</v>
      </c>
      <c r="C10" s="107" t="s">
        <v>93</v>
      </c>
      <c r="D10" s="88"/>
      <c r="E10" s="102" t="s">
        <v>94</v>
      </c>
    </row>
    <row r="11">
      <c r="A11" s="94">
        <v>100100.0</v>
      </c>
      <c r="B11" s="108" t="s">
        <v>307</v>
      </c>
      <c r="C11" s="109" t="s">
        <v>308</v>
      </c>
      <c r="D11" s="88"/>
      <c r="E11" s="110" t="s">
        <v>155</v>
      </c>
    </row>
    <row r="17">
      <c r="E17" s="46" t="s">
        <v>309</v>
      </c>
    </row>
    <row r="18">
      <c r="D18" s="80" t="s">
        <v>289</v>
      </c>
      <c r="E18" s="81" t="s">
        <v>290</v>
      </c>
      <c r="F18" s="82" t="s">
        <v>2</v>
      </c>
      <c r="G18" s="83"/>
      <c r="H18" s="84" t="s">
        <v>3</v>
      </c>
    </row>
    <row r="19">
      <c r="D19" s="87">
        <v>700100.0</v>
      </c>
      <c r="E19" s="108" t="s">
        <v>310</v>
      </c>
      <c r="F19" s="111" t="s">
        <v>311</v>
      </c>
      <c r="G19" s="83"/>
      <c r="H19" s="112" t="s">
        <v>312</v>
      </c>
    </row>
    <row r="20">
      <c r="D20" s="87">
        <v>500300.0</v>
      </c>
      <c r="E20" s="108" t="s">
        <v>313</v>
      </c>
      <c r="F20" s="113" t="s">
        <v>314</v>
      </c>
      <c r="G20" s="83"/>
      <c r="H20" s="114" t="s">
        <v>152</v>
      </c>
    </row>
    <row r="21">
      <c r="D21" s="87">
        <v>500100.0</v>
      </c>
      <c r="E21" s="108" t="s">
        <v>76</v>
      </c>
      <c r="F21" s="107" t="s">
        <v>78</v>
      </c>
      <c r="G21" s="115"/>
      <c r="H21" s="78" t="s">
        <v>79</v>
      </c>
    </row>
    <row r="22">
      <c r="D22" s="87">
        <v>500500.0</v>
      </c>
      <c r="E22" s="108" t="s">
        <v>315</v>
      </c>
      <c r="F22" s="116" t="s">
        <v>316</v>
      </c>
      <c r="G22" s="83"/>
      <c r="H22" s="117" t="s">
        <v>317</v>
      </c>
      <c r="I22" s="46" t="s">
        <v>318</v>
      </c>
    </row>
    <row r="23">
      <c r="D23" s="87">
        <v>700300.0</v>
      </c>
      <c r="E23" s="108" t="s">
        <v>319</v>
      </c>
      <c r="F23" s="118" t="s">
        <v>320</v>
      </c>
      <c r="H23" s="56" t="s">
        <v>294</v>
      </c>
    </row>
    <row r="24">
      <c r="D24" s="87">
        <v>500700.0</v>
      </c>
      <c r="E24" s="99" t="s">
        <v>92</v>
      </c>
      <c r="F24" s="113" t="s">
        <v>93</v>
      </c>
      <c r="G24" s="83"/>
      <c r="H24" s="102" t="s">
        <v>94</v>
      </c>
    </row>
    <row r="25">
      <c r="D25" s="87">
        <v>100100.0</v>
      </c>
      <c r="E25" s="108" t="s">
        <v>33</v>
      </c>
      <c r="F25" s="119" t="s">
        <v>35</v>
      </c>
      <c r="G25" s="83"/>
      <c r="H25" s="46" t="s">
        <v>321</v>
      </c>
    </row>
    <row r="26">
      <c r="D26" s="120" t="s">
        <v>322</v>
      </c>
      <c r="E26" s="108" t="s">
        <v>24</v>
      </c>
      <c r="F26" s="121" t="s">
        <v>26</v>
      </c>
      <c r="G26" s="122"/>
      <c r="H26" s="48" t="s">
        <v>27</v>
      </c>
    </row>
    <row r="27">
      <c r="D27" s="87">
        <v>100500.0</v>
      </c>
      <c r="E27" s="108" t="s">
        <v>323</v>
      </c>
      <c r="F27" s="123" t="s">
        <v>324</v>
      </c>
      <c r="G27" s="123"/>
      <c r="H27" s="117" t="s">
        <v>221</v>
      </c>
      <c r="I27" s="46" t="s">
        <v>318</v>
      </c>
    </row>
    <row r="28">
      <c r="D28" s="87">
        <v>700500.0</v>
      </c>
      <c r="E28" s="104" t="s">
        <v>303</v>
      </c>
      <c r="F28" s="124" t="s">
        <v>304</v>
      </c>
      <c r="G28" s="122"/>
      <c r="H28" s="89" t="s">
        <v>305</v>
      </c>
    </row>
    <row r="29">
      <c r="D29" s="87">
        <v>300700.0</v>
      </c>
      <c r="E29" s="108" t="s">
        <v>325</v>
      </c>
      <c r="F29" s="125" t="s">
        <v>325</v>
      </c>
      <c r="G29" s="83"/>
      <c r="H29" s="126" t="s">
        <v>325</v>
      </c>
    </row>
    <row r="30">
      <c r="D30" s="127"/>
      <c r="E30" s="128"/>
      <c r="F30" s="129"/>
      <c r="G30" s="130"/>
      <c r="H30" s="131"/>
    </row>
    <row r="31">
      <c r="D31" s="132"/>
      <c r="E31" s="46"/>
      <c r="F31" s="133"/>
      <c r="H31" s="133"/>
    </row>
    <row r="32">
      <c r="D32" s="132"/>
      <c r="E32" s="46"/>
      <c r="F32" s="133"/>
      <c r="H32" s="133"/>
    </row>
    <row r="33">
      <c r="D33" s="132"/>
      <c r="E33" s="46"/>
      <c r="F33" s="133"/>
      <c r="H33" s="133"/>
    </row>
    <row r="34">
      <c r="D34" s="132"/>
      <c r="E34" s="46"/>
      <c r="F34" s="133"/>
      <c r="H34" s="133"/>
    </row>
  </sheetData>
  <mergeCells count="15">
    <mergeCell ref="F24:G24"/>
    <mergeCell ref="F25:G25"/>
    <mergeCell ref="F29:G29"/>
    <mergeCell ref="F30:G30"/>
    <mergeCell ref="F31:G31"/>
    <mergeCell ref="F32:G32"/>
    <mergeCell ref="F33:G33"/>
    <mergeCell ref="F34:G34"/>
    <mergeCell ref="C1:D1"/>
    <mergeCell ref="C5:D5"/>
    <mergeCell ref="F18:G18"/>
    <mergeCell ref="F19:G19"/>
    <mergeCell ref="F20:G20"/>
    <mergeCell ref="F22:G22"/>
    <mergeCell ref="F23:G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3" max="4" width="28.38"/>
    <col customWidth="1" min="5" max="5" width="28.13"/>
    <col customWidth="1" min="7" max="7" width="18.25"/>
    <col customWidth="1" min="8" max="9" width="44.25"/>
  </cols>
  <sheetData>
    <row r="1" ht="25.5" customHeight="1">
      <c r="A1" s="134" t="s">
        <v>326</v>
      </c>
      <c r="B1" s="135" t="s">
        <v>17</v>
      </c>
      <c r="C1" s="136" t="s">
        <v>239</v>
      </c>
      <c r="D1" s="84" t="s">
        <v>240</v>
      </c>
      <c r="E1" s="32" t="s">
        <v>243</v>
      </c>
      <c r="F1" s="85" t="s">
        <v>242</v>
      </c>
      <c r="G1" s="137" t="s">
        <v>241</v>
      </c>
      <c r="H1" s="138" t="s">
        <v>327</v>
      </c>
      <c r="I1" s="139"/>
    </row>
    <row r="2">
      <c r="A2" s="140" t="s">
        <v>328</v>
      </c>
      <c r="B2" s="141" t="s">
        <v>135</v>
      </c>
      <c r="C2" s="142" t="s">
        <v>311</v>
      </c>
      <c r="D2" s="143" t="s">
        <v>312</v>
      </c>
      <c r="E2" s="93"/>
      <c r="F2" s="46" t="s">
        <v>329</v>
      </c>
      <c r="G2" s="46" t="s">
        <v>330</v>
      </c>
      <c r="H2" s="46">
        <v>0.0</v>
      </c>
    </row>
    <row r="3">
      <c r="A3" s="144" t="s">
        <v>331</v>
      </c>
      <c r="B3" s="145" t="s">
        <v>332</v>
      </c>
      <c r="C3" s="146" t="s">
        <v>333</v>
      </c>
      <c r="D3" s="147" t="s">
        <v>334</v>
      </c>
      <c r="E3" s="148"/>
      <c r="H3" s="46">
        <v>0.0</v>
      </c>
    </row>
    <row r="4">
      <c r="A4" s="149" t="s">
        <v>335</v>
      </c>
      <c r="B4" s="141"/>
      <c r="C4" s="142" t="s">
        <v>336</v>
      </c>
      <c r="D4" s="143" t="s">
        <v>337</v>
      </c>
      <c r="E4" s="150"/>
      <c r="H4" s="46">
        <v>0.0</v>
      </c>
    </row>
    <row r="5">
      <c r="A5" s="140" t="s">
        <v>338</v>
      </c>
      <c r="B5" s="151"/>
      <c r="C5" s="142" t="s">
        <v>339</v>
      </c>
      <c r="D5" s="152" t="s">
        <v>340</v>
      </c>
      <c r="E5" s="150"/>
      <c r="H5" s="46">
        <v>0.0</v>
      </c>
    </row>
    <row r="6">
      <c r="A6" s="153" t="s">
        <v>341</v>
      </c>
      <c r="B6" s="154"/>
      <c r="C6" s="155" t="s">
        <v>342</v>
      </c>
      <c r="D6" s="156" t="s">
        <v>343</v>
      </c>
      <c r="E6" s="157" t="s">
        <v>344</v>
      </c>
      <c r="H6" s="46">
        <v>15.0</v>
      </c>
    </row>
    <row r="7">
      <c r="A7" s="158" t="s">
        <v>345</v>
      </c>
      <c r="B7" s="159" t="s">
        <v>346</v>
      </c>
      <c r="C7" s="118" t="s">
        <v>347</v>
      </c>
      <c r="D7" s="152" t="s">
        <v>348</v>
      </c>
      <c r="E7" s="93"/>
      <c r="F7" s="46" t="s">
        <v>349</v>
      </c>
      <c r="H7" s="46">
        <v>26.0</v>
      </c>
    </row>
    <row r="8">
      <c r="A8" s="140" t="s">
        <v>350</v>
      </c>
      <c r="B8" s="151"/>
      <c r="C8" s="142" t="s">
        <v>351</v>
      </c>
      <c r="D8" s="143" t="s">
        <v>352</v>
      </c>
      <c r="E8" s="150"/>
      <c r="F8" s="46" t="s">
        <v>344</v>
      </c>
    </row>
    <row r="9">
      <c r="A9" s="140" t="s">
        <v>353</v>
      </c>
      <c r="B9" s="160" t="s">
        <v>354</v>
      </c>
      <c r="C9" s="115" t="s">
        <v>355</v>
      </c>
      <c r="D9" s="161" t="s">
        <v>356</v>
      </c>
      <c r="E9" s="162" t="s">
        <v>329</v>
      </c>
      <c r="F9" s="46" t="s">
        <v>357</v>
      </c>
    </row>
    <row r="10">
      <c r="A10" s="158" t="s">
        <v>358</v>
      </c>
      <c r="B10" s="145"/>
      <c r="C10" s="118" t="s">
        <v>359</v>
      </c>
      <c r="D10" s="152" t="s">
        <v>360</v>
      </c>
      <c r="E10" s="148" t="s">
        <v>361</v>
      </c>
      <c r="F10" s="46" t="s">
        <v>362</v>
      </c>
    </row>
    <row r="11">
      <c r="A11" s="158" t="s">
        <v>363</v>
      </c>
      <c r="B11" s="145"/>
      <c r="C11" s="118" t="s">
        <v>364</v>
      </c>
      <c r="D11" s="152" t="s">
        <v>365</v>
      </c>
      <c r="E11" s="93"/>
      <c r="F11" s="46" t="s">
        <v>362</v>
      </c>
    </row>
    <row r="12">
      <c r="A12" s="158" t="s">
        <v>366</v>
      </c>
      <c r="B12" s="145"/>
      <c r="C12" s="163" t="s">
        <v>367</v>
      </c>
      <c r="D12" s="164" t="s">
        <v>368</v>
      </c>
      <c r="E12" s="148" t="s">
        <v>369</v>
      </c>
      <c r="F12" s="46" t="s">
        <v>370</v>
      </c>
    </row>
    <row r="13">
      <c r="A13" s="158" t="s">
        <v>371</v>
      </c>
      <c r="B13" s="159" t="s">
        <v>372</v>
      </c>
      <c r="C13" s="118" t="s">
        <v>373</v>
      </c>
      <c r="D13" s="165" t="s">
        <v>374</v>
      </c>
      <c r="E13" s="93"/>
      <c r="F13" s="46">
        <v>14.0</v>
      </c>
    </row>
    <row r="14">
      <c r="A14" s="140" t="s">
        <v>375</v>
      </c>
      <c r="B14" s="151"/>
      <c r="C14" s="166" t="s">
        <v>376</v>
      </c>
      <c r="D14" s="143" t="s">
        <v>377</v>
      </c>
      <c r="E14" s="150"/>
      <c r="G14" s="167"/>
    </row>
    <row r="15">
      <c r="A15" s="158" t="s">
        <v>378</v>
      </c>
      <c r="B15" s="145"/>
      <c r="C15" s="118" t="s">
        <v>379</v>
      </c>
      <c r="D15" s="152" t="s">
        <v>380</v>
      </c>
      <c r="E15" s="150"/>
    </row>
    <row r="16">
      <c r="A16" s="158" t="s">
        <v>381</v>
      </c>
      <c r="B16" s="159" t="s">
        <v>372</v>
      </c>
      <c r="C16" s="118" t="s">
        <v>382</v>
      </c>
      <c r="D16" s="152" t="s">
        <v>383</v>
      </c>
      <c r="E16" s="150"/>
    </row>
    <row r="17">
      <c r="A17" s="140" t="s">
        <v>384</v>
      </c>
      <c r="B17" s="141" t="s">
        <v>385</v>
      </c>
      <c r="C17" s="168" t="s">
        <v>386</v>
      </c>
      <c r="D17" s="169" t="s">
        <v>380</v>
      </c>
      <c r="E17" s="150"/>
      <c r="F17" s="46" t="s">
        <v>387</v>
      </c>
    </row>
    <row r="18">
      <c r="A18" s="170" t="s">
        <v>388</v>
      </c>
      <c r="B18" s="171" t="s">
        <v>385</v>
      </c>
      <c r="C18" s="172" t="s">
        <v>389</v>
      </c>
      <c r="D18" s="173" t="s">
        <v>380</v>
      </c>
      <c r="E18" s="150"/>
    </row>
    <row r="19">
      <c r="A19" s="140" t="s">
        <v>390</v>
      </c>
      <c r="B19" s="151" t="s">
        <v>350</v>
      </c>
      <c r="C19" s="142" t="s">
        <v>391</v>
      </c>
      <c r="D19" s="143" t="s">
        <v>392</v>
      </c>
      <c r="E19" s="150"/>
    </row>
    <row r="20">
      <c r="A20" s="158" t="s">
        <v>303</v>
      </c>
      <c r="B20" s="145"/>
      <c r="C20" s="118" t="s">
        <v>304</v>
      </c>
      <c r="D20" s="152" t="s">
        <v>305</v>
      </c>
      <c r="E20" s="93"/>
      <c r="F20" s="46" t="s">
        <v>362</v>
      </c>
    </row>
    <row r="21">
      <c r="A21" s="174" t="s">
        <v>292</v>
      </c>
      <c r="B21" s="175"/>
      <c r="C21" s="115" t="s">
        <v>293</v>
      </c>
      <c r="D21" s="161" t="s">
        <v>294</v>
      </c>
      <c r="E21" s="93">
        <v>2097.0</v>
      </c>
      <c r="F21" s="46" t="s">
        <v>349</v>
      </c>
    </row>
    <row r="22">
      <c r="A22" s="158" t="s">
        <v>393</v>
      </c>
      <c r="B22" s="159" t="s">
        <v>346</v>
      </c>
      <c r="C22" s="118" t="s">
        <v>394</v>
      </c>
      <c r="D22" s="152" t="s">
        <v>395</v>
      </c>
      <c r="E22" s="93"/>
      <c r="F22" s="46" t="s">
        <v>362</v>
      </c>
    </row>
    <row r="23">
      <c r="A23" s="140" t="s">
        <v>396</v>
      </c>
      <c r="B23" s="151"/>
      <c r="C23" s="142" t="s">
        <v>397</v>
      </c>
      <c r="D23" s="143" t="s">
        <v>398</v>
      </c>
      <c r="E23" s="150"/>
      <c r="G23" s="167"/>
    </row>
    <row r="24">
      <c r="A24" s="140" t="s">
        <v>399</v>
      </c>
      <c r="B24" s="160" t="s">
        <v>385</v>
      </c>
      <c r="C24" s="142" t="s">
        <v>400</v>
      </c>
      <c r="D24" s="143" t="s">
        <v>380</v>
      </c>
      <c r="E24" s="150"/>
      <c r="G24" s="167"/>
    </row>
    <row r="25">
      <c r="A25" s="158" t="s">
        <v>401</v>
      </c>
      <c r="B25" s="159" t="s">
        <v>135</v>
      </c>
      <c r="C25" s="118" t="s">
        <v>402</v>
      </c>
      <c r="D25" s="176" t="s">
        <v>403</v>
      </c>
      <c r="E25" s="98" t="s">
        <v>299</v>
      </c>
      <c r="F25" s="46" t="s">
        <v>349</v>
      </c>
    </row>
    <row r="26">
      <c r="A26" s="140" t="s">
        <v>404</v>
      </c>
      <c r="B26" s="151"/>
      <c r="C26" s="177" t="s">
        <v>405</v>
      </c>
      <c r="D26" s="173" t="s">
        <v>406</v>
      </c>
      <c r="E26" s="150"/>
    </row>
    <row r="27">
      <c r="A27" s="178" t="s">
        <v>407</v>
      </c>
      <c r="B27" s="159" t="s">
        <v>408</v>
      </c>
      <c r="C27" s="118" t="s">
        <v>320</v>
      </c>
      <c r="D27" s="161" t="s">
        <v>294</v>
      </c>
      <c r="E27" s="93"/>
      <c r="F27" s="46" t="s">
        <v>362</v>
      </c>
    </row>
    <row r="28">
      <c r="A28" s="158" t="s">
        <v>409</v>
      </c>
      <c r="B28" s="145" t="s">
        <v>250</v>
      </c>
      <c r="C28" s="118" t="s">
        <v>410</v>
      </c>
      <c r="D28" s="152" t="s">
        <v>411</v>
      </c>
      <c r="E28" s="148"/>
      <c r="H28" s="46">
        <v>30.0</v>
      </c>
    </row>
    <row r="29">
      <c r="A29" s="140" t="s">
        <v>412</v>
      </c>
      <c r="B29" s="151" t="s">
        <v>338</v>
      </c>
      <c r="C29" s="179" t="s">
        <v>413</v>
      </c>
      <c r="D29" s="152" t="s">
        <v>414</v>
      </c>
      <c r="E29" s="150"/>
    </row>
    <row r="30">
      <c r="A30" s="158" t="s">
        <v>415</v>
      </c>
      <c r="B30" s="145"/>
      <c r="C30" s="118" t="s">
        <v>416</v>
      </c>
      <c r="D30" s="152">
        <v>196721.0</v>
      </c>
      <c r="E30" s="93"/>
      <c r="F30" s="46" t="s">
        <v>362</v>
      </c>
    </row>
    <row r="31">
      <c r="A31" s="158" t="s">
        <v>417</v>
      </c>
      <c r="B31" s="145"/>
      <c r="C31" s="118" t="s">
        <v>418</v>
      </c>
      <c r="D31" s="152" t="s">
        <v>419</v>
      </c>
      <c r="E31" s="148">
        <v>2097.0</v>
      </c>
      <c r="F31" s="46" t="s">
        <v>349</v>
      </c>
    </row>
    <row r="32">
      <c r="A32" s="140" t="s">
        <v>420</v>
      </c>
      <c r="B32" s="151"/>
      <c r="C32" s="142" t="s">
        <v>421</v>
      </c>
      <c r="D32" s="143" t="s">
        <v>422</v>
      </c>
      <c r="E32" s="150"/>
    </row>
    <row r="33">
      <c r="A33" s="140" t="s">
        <v>423</v>
      </c>
      <c r="B33" s="151"/>
      <c r="C33" s="142" t="s">
        <v>424</v>
      </c>
      <c r="D33" s="143" t="s">
        <v>425</v>
      </c>
      <c r="E33" s="150"/>
    </row>
    <row r="34">
      <c r="A34" s="174" t="s">
        <v>426</v>
      </c>
      <c r="B34" s="175"/>
      <c r="C34" s="115" t="s">
        <v>427</v>
      </c>
      <c r="D34" s="161" t="s">
        <v>428</v>
      </c>
      <c r="E34" s="180">
        <v>5536.0</v>
      </c>
      <c r="F34" s="181" t="s">
        <v>362</v>
      </c>
      <c r="G34" s="133"/>
      <c r="H34" s="133"/>
      <c r="I34" s="133"/>
    </row>
    <row r="35">
      <c r="A35" s="158" t="s">
        <v>429</v>
      </c>
      <c r="B35" s="145"/>
      <c r="C35" s="118" t="s">
        <v>430</v>
      </c>
      <c r="D35" s="152" t="s">
        <v>431</v>
      </c>
      <c r="E35" s="150"/>
      <c r="F35" s="46" t="s">
        <v>344</v>
      </c>
    </row>
    <row r="36">
      <c r="A36" s="140" t="s">
        <v>432</v>
      </c>
      <c r="B36" s="151"/>
      <c r="C36" s="182" t="s">
        <v>433</v>
      </c>
      <c r="D36" s="143" t="s">
        <v>434</v>
      </c>
      <c r="E36" s="150"/>
      <c r="G36" s="46" t="s">
        <v>435</v>
      </c>
    </row>
    <row r="37">
      <c r="A37" s="140" t="s">
        <v>436</v>
      </c>
      <c r="B37" s="151"/>
      <c r="C37" s="142" t="s">
        <v>437</v>
      </c>
      <c r="D37" s="143" t="s">
        <v>438</v>
      </c>
      <c r="E37" s="150"/>
      <c r="F37" s="46" t="s">
        <v>344</v>
      </c>
    </row>
    <row r="38">
      <c r="A38" s="140" t="s">
        <v>439</v>
      </c>
      <c r="B38" s="151"/>
      <c r="C38" s="142" t="s">
        <v>440</v>
      </c>
      <c r="D38" s="147" t="s">
        <v>334</v>
      </c>
      <c r="E38" s="93"/>
      <c r="F38" s="46" t="s">
        <v>441</v>
      </c>
    </row>
    <row r="39">
      <c r="A39" s="158" t="s">
        <v>442</v>
      </c>
      <c r="B39" s="145"/>
      <c r="C39" s="118" t="s">
        <v>443</v>
      </c>
      <c r="D39" s="183" t="s">
        <v>444</v>
      </c>
      <c r="E39" s="93"/>
      <c r="F39" s="46" t="s">
        <v>370</v>
      </c>
    </row>
    <row r="40">
      <c r="A40" s="140" t="s">
        <v>445</v>
      </c>
      <c r="B40" s="151"/>
      <c r="C40" s="142" t="s">
        <v>446</v>
      </c>
      <c r="D40" s="143" t="s">
        <v>447</v>
      </c>
      <c r="E40" s="150"/>
      <c r="F40" s="46" t="s">
        <v>344</v>
      </c>
    </row>
    <row r="41">
      <c r="A41" s="158" t="s">
        <v>448</v>
      </c>
      <c r="B41" s="145"/>
      <c r="C41" s="118" t="s">
        <v>449</v>
      </c>
      <c r="D41" s="152" t="s">
        <v>450</v>
      </c>
      <c r="E41" s="93"/>
      <c r="F41" s="46" t="s">
        <v>362</v>
      </c>
    </row>
    <row r="42">
      <c r="A42" s="158" t="s">
        <v>451</v>
      </c>
      <c r="B42" s="159" t="s">
        <v>346</v>
      </c>
      <c r="C42" s="118" t="s">
        <v>452</v>
      </c>
      <c r="D42" s="152" t="s">
        <v>453</v>
      </c>
      <c r="E42" s="93"/>
      <c r="F42" s="46" t="s">
        <v>362</v>
      </c>
      <c r="G42" s="46" t="s">
        <v>454</v>
      </c>
    </row>
    <row r="43">
      <c r="A43" s="158" t="s">
        <v>455</v>
      </c>
      <c r="B43" s="159" t="s">
        <v>346</v>
      </c>
      <c r="C43" s="118" t="s">
        <v>456</v>
      </c>
      <c r="D43" s="152" t="s">
        <v>457</v>
      </c>
      <c r="E43" s="93"/>
      <c r="F43" s="46" t="s">
        <v>362</v>
      </c>
    </row>
    <row r="44">
      <c r="A44" s="158" t="s">
        <v>458</v>
      </c>
      <c r="B44" s="145"/>
      <c r="C44" s="115" t="s">
        <v>459</v>
      </c>
      <c r="D44" s="161" t="s">
        <v>460</v>
      </c>
      <c r="E44" s="184"/>
      <c r="F44" s="158" t="s">
        <v>461</v>
      </c>
      <c r="G44" s="115" t="s">
        <v>462</v>
      </c>
      <c r="H44" s="161" t="s">
        <v>428</v>
      </c>
      <c r="I44" s="161"/>
    </row>
    <row r="45">
      <c r="A45" s="185" t="s">
        <v>463</v>
      </c>
      <c r="B45" s="160" t="s">
        <v>464</v>
      </c>
      <c r="C45" s="186" t="s">
        <v>465</v>
      </c>
      <c r="D45" s="187" t="s">
        <v>356</v>
      </c>
      <c r="E45" s="184"/>
      <c r="F45" s="133"/>
      <c r="G45" s="133"/>
      <c r="H45" s="133"/>
      <c r="I45" s="133"/>
    </row>
    <row r="46">
      <c r="A46" s="178" t="s">
        <v>466</v>
      </c>
      <c r="B46" s="160" t="s">
        <v>467</v>
      </c>
      <c r="C46" s="188" t="s">
        <v>468</v>
      </c>
      <c r="D46" s="188" t="s">
        <v>469</v>
      </c>
      <c r="E46" s="184"/>
      <c r="F46" s="133"/>
      <c r="G46" s="133"/>
      <c r="H46" s="133"/>
      <c r="I46" s="133"/>
    </row>
    <row r="47">
      <c r="A47" s="178" t="s">
        <v>470</v>
      </c>
      <c r="B47" s="160" t="s">
        <v>471</v>
      </c>
      <c r="C47" s="188" t="s">
        <v>472</v>
      </c>
      <c r="D47" s="188" t="s">
        <v>380</v>
      </c>
      <c r="E47" s="184"/>
      <c r="F47" s="133"/>
      <c r="G47" s="133"/>
      <c r="H47" s="133"/>
      <c r="I47" s="133"/>
    </row>
    <row r="48">
      <c r="A48" s="158"/>
      <c r="B48" s="160"/>
      <c r="C48" s="115"/>
      <c r="D48" s="189"/>
      <c r="E48" s="184"/>
      <c r="F48" s="190"/>
      <c r="G48" s="190"/>
      <c r="H48" s="190"/>
      <c r="I48" s="190"/>
    </row>
  </sheetData>
  <hyperlinks>
    <hyperlink r:id="rId1" location="gid=1" ref="H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7.88"/>
    <col customWidth="1" min="4" max="4" width="16.5"/>
    <col customWidth="1" min="6" max="6" width="21.75"/>
    <col customWidth="1" min="7" max="7" width="8.75"/>
    <col customWidth="1" min="8" max="8" width="23.88"/>
  </cols>
  <sheetData>
    <row r="1">
      <c r="A1" s="191" t="s">
        <v>473</v>
      </c>
      <c r="B1" s="192" t="s">
        <v>474</v>
      </c>
      <c r="C1" s="193" t="s">
        <v>239</v>
      </c>
      <c r="D1" s="194"/>
      <c r="E1" s="195" t="s">
        <v>240</v>
      </c>
      <c r="F1" s="196" t="s">
        <v>242</v>
      </c>
      <c r="G1" s="197" t="s">
        <v>291</v>
      </c>
      <c r="H1" s="198" t="s">
        <v>243</v>
      </c>
    </row>
    <row r="2" ht="25.5" customHeight="1">
      <c r="A2" s="199" t="s">
        <v>53</v>
      </c>
      <c r="B2" s="200" t="s">
        <v>475</v>
      </c>
      <c r="C2" s="201" t="s">
        <v>476</v>
      </c>
      <c r="D2" s="83"/>
      <c r="E2" s="114" t="s">
        <v>477</v>
      </c>
      <c r="F2" s="202" t="s">
        <v>478</v>
      </c>
      <c r="G2" s="203">
        <v>14.0</v>
      </c>
      <c r="H2" s="204" t="s">
        <v>479</v>
      </c>
    </row>
    <row r="3">
      <c r="A3" s="75" t="s">
        <v>53</v>
      </c>
      <c r="B3" s="205" t="s">
        <v>480</v>
      </c>
      <c r="C3" s="206" t="s">
        <v>333</v>
      </c>
      <c r="D3" s="194"/>
      <c r="E3" s="207" t="s">
        <v>334</v>
      </c>
      <c r="F3" s="73" t="s">
        <v>481</v>
      </c>
      <c r="G3" s="72">
        <v>15.0</v>
      </c>
      <c r="H3" s="39" t="s">
        <v>482</v>
      </c>
    </row>
    <row r="4">
      <c r="A4" s="75" t="s">
        <v>22</v>
      </c>
      <c r="B4" s="76" t="s">
        <v>483</v>
      </c>
      <c r="C4" s="206" t="s">
        <v>484</v>
      </c>
      <c r="D4" s="194"/>
      <c r="E4" s="78" t="s">
        <v>485</v>
      </c>
      <c r="F4" s="208" t="s">
        <v>486</v>
      </c>
      <c r="G4" s="72">
        <v>15.0</v>
      </c>
      <c r="H4" s="74"/>
      <c r="I4" s="46"/>
    </row>
    <row r="5">
      <c r="A5" s="75" t="s">
        <v>53</v>
      </c>
      <c r="B5" s="209" t="s">
        <v>244</v>
      </c>
      <c r="C5" s="206" t="s">
        <v>120</v>
      </c>
      <c r="D5" s="194"/>
      <c r="E5" s="78" t="s">
        <v>121</v>
      </c>
      <c r="F5" s="208" t="s">
        <v>487</v>
      </c>
      <c r="G5" s="72">
        <v>15.0</v>
      </c>
      <c r="H5" s="74"/>
    </row>
    <row r="6">
      <c r="A6" s="75" t="s">
        <v>53</v>
      </c>
      <c r="B6" s="99" t="s">
        <v>488</v>
      </c>
      <c r="C6" s="210" t="s">
        <v>489</v>
      </c>
      <c r="D6" s="83"/>
      <c r="E6" s="211" t="s">
        <v>490</v>
      </c>
      <c r="F6" s="73" t="s">
        <v>491</v>
      </c>
      <c r="G6" s="72">
        <v>12.0</v>
      </c>
      <c r="H6" s="74"/>
      <c r="I6" s="46" t="s">
        <v>492</v>
      </c>
    </row>
    <row r="7">
      <c r="A7" s="70" t="s">
        <v>22</v>
      </c>
      <c r="B7" s="212" t="s">
        <v>8</v>
      </c>
      <c r="C7" s="213" t="s">
        <v>10</v>
      </c>
      <c r="D7" s="214"/>
      <c r="E7" s="215" t="s">
        <v>11</v>
      </c>
      <c r="F7" s="208"/>
      <c r="G7" s="216">
        <v>15.0</v>
      </c>
      <c r="H7" s="39" t="s">
        <v>493</v>
      </c>
      <c r="I7" s="46"/>
    </row>
    <row r="8">
      <c r="A8" s="75" t="s">
        <v>53</v>
      </c>
      <c r="B8" s="76" t="s">
        <v>494</v>
      </c>
      <c r="C8" s="206" t="s">
        <v>495</v>
      </c>
      <c r="D8" s="194"/>
      <c r="E8" s="78" t="s">
        <v>496</v>
      </c>
      <c r="F8" s="208" t="s">
        <v>497</v>
      </c>
      <c r="G8" s="72">
        <v>15.0</v>
      </c>
      <c r="H8" s="74"/>
      <c r="I8" s="46" t="s">
        <v>492</v>
      </c>
    </row>
    <row r="9">
      <c r="A9" s="75" t="s">
        <v>53</v>
      </c>
      <c r="B9" s="76" t="s">
        <v>498</v>
      </c>
      <c r="C9" s="206" t="s">
        <v>499</v>
      </c>
      <c r="D9" s="194"/>
      <c r="E9" s="78" t="s">
        <v>500</v>
      </c>
      <c r="F9" s="73" t="s">
        <v>501</v>
      </c>
      <c r="G9" s="72">
        <v>15.0</v>
      </c>
      <c r="H9" s="74" t="s">
        <v>502</v>
      </c>
    </row>
    <row r="10">
      <c r="A10" s="75" t="s">
        <v>53</v>
      </c>
      <c r="B10" s="76" t="s">
        <v>503</v>
      </c>
      <c r="C10" s="206" t="s">
        <v>504</v>
      </c>
      <c r="D10" s="194"/>
      <c r="E10" s="78" t="s">
        <v>496</v>
      </c>
      <c r="F10" s="73" t="s">
        <v>481</v>
      </c>
      <c r="G10" s="72">
        <v>14.0</v>
      </c>
      <c r="H10" s="74" t="s">
        <v>505</v>
      </c>
    </row>
    <row r="11">
      <c r="A11" s="70" t="s">
        <v>25</v>
      </c>
      <c r="B11" s="71" t="s">
        <v>506</v>
      </c>
      <c r="C11" s="217" t="s">
        <v>314</v>
      </c>
      <c r="D11" s="214"/>
      <c r="E11" s="218" t="s">
        <v>152</v>
      </c>
      <c r="F11" s="208" t="s">
        <v>478</v>
      </c>
      <c r="G11" s="216">
        <v>15.0</v>
      </c>
      <c r="H11" s="39" t="s">
        <v>507</v>
      </c>
      <c r="I11" s="46"/>
    </row>
    <row r="12">
      <c r="A12" s="70" t="s">
        <v>25</v>
      </c>
      <c r="B12" s="71" t="s">
        <v>508</v>
      </c>
      <c r="C12" s="219" t="s">
        <v>509</v>
      </c>
      <c r="D12" s="194"/>
      <c r="E12" s="220" t="s">
        <v>152</v>
      </c>
      <c r="F12" s="208" t="s">
        <v>510</v>
      </c>
      <c r="G12" s="72">
        <v>15.0</v>
      </c>
      <c r="H12" s="39" t="s">
        <v>507</v>
      </c>
      <c r="I12" s="46"/>
    </row>
    <row r="13">
      <c r="A13" s="75" t="s">
        <v>53</v>
      </c>
      <c r="B13" s="76" t="s">
        <v>511</v>
      </c>
      <c r="C13" s="206" t="s">
        <v>512</v>
      </c>
      <c r="D13" s="194"/>
      <c r="E13" s="78" t="s">
        <v>513</v>
      </c>
      <c r="F13" s="73" t="s">
        <v>514</v>
      </c>
      <c r="G13" s="72">
        <v>10.0</v>
      </c>
      <c r="H13" s="74" t="s">
        <v>515</v>
      </c>
      <c r="I13" s="46" t="s">
        <v>516</v>
      </c>
    </row>
    <row r="14">
      <c r="A14" s="75" t="s">
        <v>22</v>
      </c>
      <c r="B14" s="76" t="s">
        <v>517</v>
      </c>
      <c r="C14" s="206" t="s">
        <v>54</v>
      </c>
      <c r="D14" s="194"/>
      <c r="E14" s="78" t="s">
        <v>55</v>
      </c>
      <c r="F14" s="208" t="s">
        <v>518</v>
      </c>
      <c r="G14" s="72">
        <v>15.0</v>
      </c>
      <c r="H14" s="74"/>
      <c r="I14" s="46" t="s">
        <v>516</v>
      </c>
    </row>
    <row r="15">
      <c r="A15" s="75" t="s">
        <v>53</v>
      </c>
      <c r="B15" s="76" t="s">
        <v>519</v>
      </c>
      <c r="C15" s="206" t="s">
        <v>520</v>
      </c>
      <c r="D15" s="194"/>
      <c r="E15" s="78" t="s">
        <v>521</v>
      </c>
      <c r="F15" s="73" t="s">
        <v>481</v>
      </c>
      <c r="G15" s="72">
        <v>14.0</v>
      </c>
      <c r="H15" s="79">
        <v>42956.0</v>
      </c>
      <c r="I15" s="46" t="s">
        <v>516</v>
      </c>
    </row>
    <row r="16">
      <c r="A16" s="75" t="s">
        <v>53</v>
      </c>
      <c r="B16" s="76" t="s">
        <v>522</v>
      </c>
      <c r="C16" s="206" t="s">
        <v>523</v>
      </c>
      <c r="D16" s="194"/>
      <c r="E16" s="78" t="s">
        <v>496</v>
      </c>
      <c r="F16" s="73" t="s">
        <v>481</v>
      </c>
      <c r="G16" s="72">
        <v>12.0</v>
      </c>
      <c r="H16" s="74" t="s">
        <v>524</v>
      </c>
    </row>
    <row r="17">
      <c r="A17" s="75" t="s">
        <v>53</v>
      </c>
      <c r="B17" s="205" t="s">
        <v>525</v>
      </c>
      <c r="C17" s="206" t="s">
        <v>526</v>
      </c>
      <c r="D17" s="194"/>
      <c r="E17" s="78" t="s">
        <v>246</v>
      </c>
      <c r="F17" s="73"/>
      <c r="G17" s="72">
        <v>12.0</v>
      </c>
      <c r="H17" s="74" t="s">
        <v>527</v>
      </c>
    </row>
    <row r="18">
      <c r="A18" s="75" t="s">
        <v>53</v>
      </c>
      <c r="B18" s="76" t="s">
        <v>528</v>
      </c>
      <c r="C18" s="206" t="s">
        <v>529</v>
      </c>
      <c r="D18" s="194"/>
      <c r="E18" s="78" t="s">
        <v>496</v>
      </c>
      <c r="F18" s="208" t="s">
        <v>530</v>
      </c>
      <c r="G18" s="72">
        <v>14.0</v>
      </c>
      <c r="H18" s="74" t="s">
        <v>531</v>
      </c>
    </row>
    <row r="19">
      <c r="A19" s="75" t="s">
        <v>53</v>
      </c>
      <c r="B19" s="76" t="s">
        <v>532</v>
      </c>
      <c r="C19" s="206" t="s">
        <v>533</v>
      </c>
      <c r="D19" s="194"/>
      <c r="E19" s="78" t="s">
        <v>534</v>
      </c>
      <c r="F19" s="208" t="s">
        <v>535</v>
      </c>
      <c r="G19" s="72">
        <v>14.0</v>
      </c>
      <c r="H19" s="74" t="s">
        <v>536</v>
      </c>
    </row>
    <row r="20">
      <c r="A20" s="70" t="s">
        <v>25</v>
      </c>
      <c r="B20" s="71" t="s">
        <v>537</v>
      </c>
      <c r="C20" s="219" t="s">
        <v>302</v>
      </c>
      <c r="D20" s="194"/>
      <c r="E20" s="220" t="s">
        <v>152</v>
      </c>
      <c r="F20" s="208" t="s">
        <v>538</v>
      </c>
      <c r="G20" s="72">
        <v>15.0</v>
      </c>
      <c r="H20" s="74"/>
      <c r="J20" s="46"/>
    </row>
    <row r="21">
      <c r="A21" s="70" t="s">
        <v>25</v>
      </c>
      <c r="B21" s="71" t="s">
        <v>539</v>
      </c>
      <c r="C21" s="219" t="s">
        <v>540</v>
      </c>
      <c r="D21" s="194"/>
      <c r="E21" s="220" t="s">
        <v>152</v>
      </c>
      <c r="F21" s="208" t="s">
        <v>541</v>
      </c>
      <c r="G21" s="72">
        <v>15.0</v>
      </c>
      <c r="H21" s="74"/>
      <c r="I21" s="46" t="s">
        <v>542</v>
      </c>
      <c r="J21" s="46"/>
    </row>
    <row r="22">
      <c r="A22" s="75" t="s">
        <v>53</v>
      </c>
      <c r="B22" s="76" t="s">
        <v>543</v>
      </c>
      <c r="C22" s="206" t="s">
        <v>544</v>
      </c>
      <c r="D22" s="194"/>
      <c r="E22" s="78" t="s">
        <v>496</v>
      </c>
      <c r="F22" s="73" t="s">
        <v>481</v>
      </c>
      <c r="G22" s="72">
        <v>14.0</v>
      </c>
      <c r="H22" s="74"/>
    </row>
    <row r="23">
      <c r="A23" s="75" t="s">
        <v>22</v>
      </c>
      <c r="B23" s="76" t="s">
        <v>115</v>
      </c>
      <c r="C23" s="221" t="s">
        <v>116</v>
      </c>
      <c r="D23" s="194"/>
      <c r="E23" s="78" t="s">
        <v>117</v>
      </c>
      <c r="F23" s="73"/>
      <c r="G23" s="72">
        <v>15.0</v>
      </c>
      <c r="H23" s="39" t="s">
        <v>545</v>
      </c>
      <c r="I23" s="46"/>
    </row>
    <row r="24">
      <c r="A24" s="70" t="s">
        <v>70</v>
      </c>
      <c r="B24" s="222" t="s">
        <v>546</v>
      </c>
      <c r="C24" s="223" t="s">
        <v>547</v>
      </c>
      <c r="D24" s="224"/>
      <c r="E24" s="225" t="s">
        <v>548</v>
      </c>
      <c r="F24" s="208" t="s">
        <v>481</v>
      </c>
      <c r="G24" s="216">
        <v>12.0</v>
      </c>
      <c r="H24" s="74"/>
      <c r="I24" s="46" t="s">
        <v>549</v>
      </c>
    </row>
    <row r="25">
      <c r="A25" s="75" t="s">
        <v>53</v>
      </c>
      <c r="B25" s="226" t="s">
        <v>119</v>
      </c>
      <c r="C25" s="206" t="s">
        <v>245</v>
      </c>
      <c r="D25" s="194"/>
      <c r="E25" s="78" t="s">
        <v>246</v>
      </c>
      <c r="F25" s="208" t="s">
        <v>501</v>
      </c>
      <c r="G25" s="72">
        <v>15.0</v>
      </c>
      <c r="H25" s="74"/>
    </row>
    <row r="26">
      <c r="A26" s="75" t="s">
        <v>70</v>
      </c>
      <c r="B26" s="76" t="s">
        <v>550</v>
      </c>
      <c r="C26" s="221" t="s">
        <v>551</v>
      </c>
      <c r="D26" s="194"/>
      <c r="E26" s="78" t="s">
        <v>552</v>
      </c>
      <c r="F26" s="208" t="s">
        <v>530</v>
      </c>
      <c r="G26" s="72">
        <v>15.0</v>
      </c>
      <c r="H26" s="74"/>
      <c r="I26" s="46" t="s">
        <v>492</v>
      </c>
    </row>
    <row r="27">
      <c r="A27" s="75" t="s">
        <v>70</v>
      </c>
      <c r="B27" s="205" t="s">
        <v>70</v>
      </c>
      <c r="C27" s="206" t="s">
        <v>553</v>
      </c>
      <c r="D27" s="194"/>
      <c r="E27" s="78" t="s">
        <v>554</v>
      </c>
      <c r="F27" s="208" t="s">
        <v>555</v>
      </c>
      <c r="G27" s="72">
        <v>15.0</v>
      </c>
      <c r="H27" s="74"/>
    </row>
    <row r="28">
      <c r="A28" s="70" t="s">
        <v>25</v>
      </c>
      <c r="B28" s="71" t="s">
        <v>556</v>
      </c>
      <c r="C28" s="219" t="s">
        <v>557</v>
      </c>
      <c r="D28" s="194"/>
      <c r="E28" s="220" t="s">
        <v>152</v>
      </c>
      <c r="F28" s="208" t="s">
        <v>558</v>
      </c>
      <c r="G28" s="72">
        <v>15.0</v>
      </c>
      <c r="H28" s="74"/>
      <c r="I28" s="46"/>
    </row>
    <row r="29">
      <c r="A29" s="75" t="s">
        <v>22</v>
      </c>
      <c r="B29" s="76" t="s">
        <v>153</v>
      </c>
      <c r="C29" s="206" t="s">
        <v>559</v>
      </c>
      <c r="D29" s="194"/>
      <c r="E29" s="78" t="s">
        <v>155</v>
      </c>
      <c r="F29" s="208" t="s">
        <v>560</v>
      </c>
      <c r="G29" s="72">
        <v>13.0</v>
      </c>
      <c r="H29" s="39" t="s">
        <v>561</v>
      </c>
    </row>
    <row r="30">
      <c r="A30" s="70" t="s">
        <v>562</v>
      </c>
      <c r="B30" s="205" t="s">
        <v>563</v>
      </c>
      <c r="C30" s="206" t="s">
        <v>564</v>
      </c>
      <c r="D30" s="194"/>
      <c r="E30" s="78" t="s">
        <v>565</v>
      </c>
      <c r="F30" s="208" t="s">
        <v>555</v>
      </c>
      <c r="G30" s="216">
        <v>15.0</v>
      </c>
      <c r="H30" s="39" t="s">
        <v>566</v>
      </c>
    </row>
    <row r="31">
      <c r="A31" s="75" t="s">
        <v>22</v>
      </c>
      <c r="B31" s="205" t="s">
        <v>156</v>
      </c>
      <c r="C31" s="221" t="s">
        <v>157</v>
      </c>
      <c r="D31" s="194"/>
      <c r="E31" s="78" t="s">
        <v>158</v>
      </c>
      <c r="F31" s="208" t="s">
        <v>567</v>
      </c>
      <c r="G31" s="72">
        <v>15.0</v>
      </c>
      <c r="H31" s="39" t="s">
        <v>568</v>
      </c>
    </row>
    <row r="32">
      <c r="A32" s="75" t="s">
        <v>53</v>
      </c>
      <c r="B32" s="76" t="s">
        <v>569</v>
      </c>
      <c r="C32" s="206" t="s">
        <v>570</v>
      </c>
      <c r="D32" s="194"/>
      <c r="E32" s="78" t="s">
        <v>571</v>
      </c>
      <c r="F32" s="73" t="s">
        <v>572</v>
      </c>
      <c r="G32" s="72">
        <v>15.0</v>
      </c>
      <c r="H32" s="74"/>
    </row>
    <row r="33">
      <c r="A33" s="75" t="s">
        <v>53</v>
      </c>
      <c r="B33" s="76" t="s">
        <v>573</v>
      </c>
      <c r="C33" s="206" t="s">
        <v>574</v>
      </c>
      <c r="D33" s="194"/>
      <c r="E33" s="78" t="s">
        <v>575</v>
      </c>
      <c r="F33" s="73" t="s">
        <v>501</v>
      </c>
      <c r="G33" s="72">
        <v>15.0</v>
      </c>
      <c r="H33" s="74" t="s">
        <v>576</v>
      </c>
    </row>
    <row r="34">
      <c r="A34" s="70" t="s">
        <v>53</v>
      </c>
      <c r="B34" s="205" t="s">
        <v>577</v>
      </c>
      <c r="C34" s="206" t="s">
        <v>578</v>
      </c>
      <c r="D34" s="194"/>
      <c r="E34" s="78" t="s">
        <v>579</v>
      </c>
      <c r="F34" s="208" t="s">
        <v>580</v>
      </c>
      <c r="G34" s="72">
        <v>15.0</v>
      </c>
      <c r="H34" s="39" t="s">
        <v>581</v>
      </c>
    </row>
    <row r="35">
      <c r="A35" s="75" t="s">
        <v>53</v>
      </c>
      <c r="B35" s="76" t="s">
        <v>582</v>
      </c>
      <c r="C35" s="206" t="s">
        <v>583</v>
      </c>
      <c r="D35" s="194"/>
      <c r="E35" s="78" t="s">
        <v>584</v>
      </c>
      <c r="F35" s="73" t="s">
        <v>585</v>
      </c>
      <c r="G35" s="72">
        <v>13.0</v>
      </c>
      <c r="H35" s="74" t="s">
        <v>586</v>
      </c>
    </row>
    <row r="36">
      <c r="A36" s="70" t="s">
        <v>25</v>
      </c>
      <c r="B36" s="71" t="s">
        <v>587</v>
      </c>
      <c r="C36" s="217" t="s">
        <v>588</v>
      </c>
      <c r="D36" s="227"/>
      <c r="E36" s="220" t="s">
        <v>152</v>
      </c>
      <c r="F36" s="208" t="s">
        <v>481</v>
      </c>
      <c r="G36" s="216">
        <v>15.0</v>
      </c>
      <c r="H36" s="74"/>
      <c r="I36" s="46"/>
    </row>
    <row r="37">
      <c r="A37" s="70" t="s">
        <v>25</v>
      </c>
      <c r="B37" s="71" t="s">
        <v>589</v>
      </c>
      <c r="C37" s="217" t="s">
        <v>590</v>
      </c>
      <c r="D37" s="227"/>
      <c r="E37" s="220" t="s">
        <v>579</v>
      </c>
      <c r="F37" s="208" t="s">
        <v>481</v>
      </c>
      <c r="G37" s="216">
        <v>15.0</v>
      </c>
      <c r="H37" s="74"/>
      <c r="I37" s="46" t="s">
        <v>549</v>
      </c>
    </row>
    <row r="38">
      <c r="A38" s="75" t="s">
        <v>22</v>
      </c>
      <c r="B38" s="76" t="s">
        <v>591</v>
      </c>
      <c r="C38" s="206" t="s">
        <v>178</v>
      </c>
      <c r="D38" s="194"/>
      <c r="E38" s="78" t="s">
        <v>152</v>
      </c>
      <c r="F38" s="208" t="s">
        <v>592</v>
      </c>
      <c r="G38" s="72">
        <v>15.0</v>
      </c>
      <c r="H38" s="74"/>
    </row>
    <row r="39">
      <c r="A39" s="70" t="s">
        <v>70</v>
      </c>
      <c r="B39" s="76" t="s">
        <v>593</v>
      </c>
      <c r="C39" s="206" t="s">
        <v>594</v>
      </c>
      <c r="D39" s="194"/>
      <c r="E39" s="78" t="s">
        <v>595</v>
      </c>
      <c r="F39" s="73" t="s">
        <v>481</v>
      </c>
      <c r="G39" s="216">
        <v>14.0</v>
      </c>
      <c r="H39" s="39"/>
      <c r="I39" s="46"/>
    </row>
    <row r="40">
      <c r="A40" s="75" t="s">
        <v>70</v>
      </c>
      <c r="B40" s="76" t="s">
        <v>596</v>
      </c>
      <c r="C40" s="206" t="s">
        <v>597</v>
      </c>
      <c r="D40" s="194"/>
      <c r="E40" s="78" t="s">
        <v>598</v>
      </c>
      <c r="F40" s="73"/>
      <c r="G40" s="72">
        <v>12.0</v>
      </c>
      <c r="H40" s="39" t="s">
        <v>599</v>
      </c>
      <c r="I40" s="46" t="s">
        <v>600</v>
      </c>
      <c r="J40" s="46" t="s">
        <v>492</v>
      </c>
      <c r="K40" s="46"/>
    </row>
    <row r="41">
      <c r="A41" s="75" t="s">
        <v>53</v>
      </c>
      <c r="B41" s="76" t="s">
        <v>601</v>
      </c>
      <c r="C41" s="206" t="s">
        <v>602</v>
      </c>
      <c r="D41" s="194"/>
      <c r="E41" s="78" t="s">
        <v>496</v>
      </c>
      <c r="F41" s="73" t="s">
        <v>481</v>
      </c>
      <c r="G41" s="72">
        <v>14.0</v>
      </c>
      <c r="H41" s="74"/>
    </row>
    <row r="42">
      <c r="A42" s="70" t="s">
        <v>70</v>
      </c>
      <c r="B42" s="76" t="s">
        <v>603</v>
      </c>
      <c r="C42" s="206" t="s">
        <v>604</v>
      </c>
      <c r="D42" s="194"/>
      <c r="E42" s="78" t="s">
        <v>595</v>
      </c>
      <c r="F42" s="73"/>
      <c r="G42" s="216">
        <v>15.0</v>
      </c>
      <c r="H42" s="74"/>
      <c r="I42" s="46" t="s">
        <v>600</v>
      </c>
      <c r="J42" s="46" t="s">
        <v>605</v>
      </c>
    </row>
    <row r="43">
      <c r="A43" s="75" t="s">
        <v>22</v>
      </c>
      <c r="B43" s="205" t="s">
        <v>212</v>
      </c>
      <c r="C43" s="221" t="s">
        <v>213</v>
      </c>
      <c r="D43" s="194"/>
      <c r="E43" s="78" t="s">
        <v>152</v>
      </c>
      <c r="F43" s="73" t="s">
        <v>247</v>
      </c>
      <c r="G43" s="72">
        <v>15.0</v>
      </c>
      <c r="H43" s="74"/>
      <c r="I43" s="46"/>
    </row>
    <row r="44">
      <c r="A44" s="75" t="s">
        <v>53</v>
      </c>
      <c r="B44" s="76" t="s">
        <v>606</v>
      </c>
      <c r="C44" s="210" t="s">
        <v>607</v>
      </c>
      <c r="D44" s="83"/>
      <c r="E44" s="78" t="s">
        <v>552</v>
      </c>
      <c r="F44" s="208" t="s">
        <v>481</v>
      </c>
      <c r="G44" s="72">
        <v>12.0</v>
      </c>
      <c r="H44" s="74" t="s">
        <v>608</v>
      </c>
      <c r="I44" s="46"/>
    </row>
    <row r="45">
      <c r="A45" s="75" t="s">
        <v>53</v>
      </c>
      <c r="B45" s="76" t="s">
        <v>609</v>
      </c>
      <c r="C45" s="210" t="s">
        <v>610</v>
      </c>
      <c r="D45" s="83"/>
      <c r="E45" s="78" t="s">
        <v>611</v>
      </c>
      <c r="F45" s="73" t="s">
        <v>612</v>
      </c>
      <c r="G45" s="72">
        <v>15.0</v>
      </c>
      <c r="H45" s="74"/>
    </row>
    <row r="46">
      <c r="A46" s="70" t="s">
        <v>70</v>
      </c>
      <c r="B46" s="76" t="s">
        <v>613</v>
      </c>
      <c r="C46" s="210" t="s">
        <v>614</v>
      </c>
      <c r="D46" s="83"/>
      <c r="E46" s="78" t="s">
        <v>595</v>
      </c>
      <c r="F46" s="73" t="s">
        <v>615</v>
      </c>
      <c r="G46" s="216">
        <v>15.0</v>
      </c>
      <c r="H46" s="74"/>
      <c r="I46" s="46"/>
    </row>
    <row r="47">
      <c r="A47" s="75" t="s">
        <v>22</v>
      </c>
      <c r="B47" s="76" t="s">
        <v>616</v>
      </c>
      <c r="C47" s="210" t="s">
        <v>226</v>
      </c>
      <c r="D47" s="83"/>
      <c r="E47" s="78" t="s">
        <v>227</v>
      </c>
      <c r="F47" s="73" t="s">
        <v>617</v>
      </c>
      <c r="G47" s="72">
        <v>15.0</v>
      </c>
      <c r="H47" s="74"/>
    </row>
    <row r="48">
      <c r="A48" s="75" t="s">
        <v>53</v>
      </c>
      <c r="B48" s="76" t="s">
        <v>618</v>
      </c>
      <c r="C48" s="206" t="s">
        <v>619</v>
      </c>
      <c r="D48" s="194"/>
      <c r="E48" s="78" t="s">
        <v>552</v>
      </c>
      <c r="F48" s="73" t="s">
        <v>620</v>
      </c>
      <c r="G48" s="72">
        <v>10.0</v>
      </c>
      <c r="H48" s="74" t="s">
        <v>621</v>
      </c>
      <c r="I48" s="46"/>
    </row>
    <row r="49">
      <c r="A49" s="75" t="s">
        <v>53</v>
      </c>
      <c r="B49" s="76" t="s">
        <v>622</v>
      </c>
      <c r="C49" s="206" t="s">
        <v>623</v>
      </c>
      <c r="D49" s="194"/>
      <c r="E49" s="78" t="s">
        <v>624</v>
      </c>
      <c r="F49" s="73" t="s">
        <v>481</v>
      </c>
      <c r="G49" s="72">
        <v>14.0</v>
      </c>
      <c r="H49" s="79">
        <v>43135.0</v>
      </c>
    </row>
    <row r="50">
      <c r="A50" s="75" t="s">
        <v>53</v>
      </c>
      <c r="B50" s="76" t="s">
        <v>625</v>
      </c>
      <c r="C50" s="206" t="s">
        <v>626</v>
      </c>
      <c r="D50" s="194"/>
      <c r="E50" s="78" t="s">
        <v>246</v>
      </c>
      <c r="F50" s="73" t="s">
        <v>501</v>
      </c>
      <c r="G50" s="72">
        <v>10.0</v>
      </c>
      <c r="H50" s="74"/>
      <c r="I50" s="46"/>
    </row>
    <row r="51">
      <c r="A51" s="75" t="s">
        <v>53</v>
      </c>
      <c r="B51" s="76" t="s">
        <v>627</v>
      </c>
      <c r="C51" s="206" t="s">
        <v>628</v>
      </c>
      <c r="D51" s="228"/>
      <c r="E51" s="78" t="s">
        <v>496</v>
      </c>
      <c r="F51" s="73"/>
      <c r="G51" s="72">
        <v>0.0</v>
      </c>
      <c r="H51" s="74"/>
      <c r="I51" s="46" t="s">
        <v>629</v>
      </c>
      <c r="J51" s="46"/>
    </row>
    <row r="52">
      <c r="A52" s="75" t="s">
        <v>22</v>
      </c>
      <c r="B52" s="76" t="s">
        <v>234</v>
      </c>
      <c r="C52" s="206" t="s">
        <v>235</v>
      </c>
      <c r="D52" s="194"/>
      <c r="E52" s="78" t="s">
        <v>236</v>
      </c>
      <c r="F52" s="73" t="s">
        <v>630</v>
      </c>
      <c r="G52" s="72">
        <v>15.0</v>
      </c>
      <c r="H52" s="229">
        <v>1337.0</v>
      </c>
    </row>
    <row r="53">
      <c r="A53" s="75" t="s">
        <v>53</v>
      </c>
      <c r="B53" s="76" t="s">
        <v>631</v>
      </c>
      <c r="C53" s="210" t="s">
        <v>632</v>
      </c>
      <c r="D53" s="83"/>
      <c r="E53" s="78" t="s">
        <v>633</v>
      </c>
      <c r="F53" s="73" t="s">
        <v>481</v>
      </c>
      <c r="G53" s="72">
        <v>14.0</v>
      </c>
      <c r="H53" s="79">
        <v>42803.0</v>
      </c>
      <c r="I53" s="230" t="s">
        <v>634</v>
      </c>
    </row>
    <row r="54">
      <c r="A54" s="75" t="s">
        <v>53</v>
      </c>
      <c r="B54" s="205" t="s">
        <v>635</v>
      </c>
      <c r="C54" s="206" t="s">
        <v>636</v>
      </c>
      <c r="D54" s="194"/>
      <c r="E54" s="78" t="s">
        <v>637</v>
      </c>
      <c r="F54" s="73" t="s">
        <v>481</v>
      </c>
      <c r="G54" s="72">
        <v>15.0</v>
      </c>
      <c r="H54" s="74" t="s">
        <v>638</v>
      </c>
    </row>
    <row r="55">
      <c r="A55" s="70" t="s">
        <v>70</v>
      </c>
      <c r="B55" s="71" t="s">
        <v>639</v>
      </c>
      <c r="C55" s="107" t="s">
        <v>640</v>
      </c>
      <c r="D55" s="77"/>
      <c r="E55" s="78" t="s">
        <v>552</v>
      </c>
      <c r="F55" s="73" t="s">
        <v>641</v>
      </c>
      <c r="G55" s="72">
        <v>15.0</v>
      </c>
      <c r="H55" s="74"/>
      <c r="I55" s="46"/>
    </row>
    <row r="56">
      <c r="A56" s="75" t="s">
        <v>53</v>
      </c>
      <c r="B56" s="231" t="s">
        <v>642</v>
      </c>
      <c r="C56" s="210" t="s">
        <v>643</v>
      </c>
      <c r="D56" s="83"/>
      <c r="E56" s="78" t="s">
        <v>513</v>
      </c>
      <c r="F56" s="73" t="s">
        <v>644</v>
      </c>
      <c r="G56" s="72">
        <v>13.0</v>
      </c>
      <c r="H56" s="74" t="s">
        <v>645</v>
      </c>
      <c r="I56" s="46" t="s">
        <v>646</v>
      </c>
    </row>
    <row r="57">
      <c r="A57" s="75" t="s">
        <v>53</v>
      </c>
      <c r="B57" s="231" t="s">
        <v>647</v>
      </c>
      <c r="C57" s="210" t="s">
        <v>648</v>
      </c>
      <c r="D57" s="83"/>
      <c r="E57" s="78" t="s">
        <v>496</v>
      </c>
      <c r="F57" s="73" t="s">
        <v>481</v>
      </c>
      <c r="G57" s="72">
        <v>10.0</v>
      </c>
      <c r="H57" s="39" t="s">
        <v>646</v>
      </c>
      <c r="I57" s="46" t="s">
        <v>649</v>
      </c>
      <c r="J57" s="46" t="s">
        <v>650</v>
      </c>
      <c r="K57" s="46"/>
    </row>
    <row r="58">
      <c r="A58" s="70"/>
      <c r="B58" s="71"/>
      <c r="C58" s="109"/>
      <c r="D58" s="109"/>
      <c r="E58" s="220"/>
      <c r="F58" s="208"/>
      <c r="G58" s="72"/>
      <c r="H58" s="74"/>
    </row>
    <row r="61">
      <c r="E61" s="46"/>
    </row>
    <row r="67">
      <c r="H67" s="46" t="s">
        <v>651</v>
      </c>
    </row>
  </sheetData>
  <mergeCells count="51">
    <mergeCell ref="C1:D1"/>
    <mergeCell ref="C2:D2"/>
    <mergeCell ref="C3:D3"/>
    <mergeCell ref="C4:D4"/>
    <mergeCell ref="C5:D5"/>
    <mergeCell ref="C6:D6"/>
    <mergeCell ref="C8:D8"/>
    <mergeCell ref="C9:D9"/>
    <mergeCell ref="C10:D10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56:D56"/>
    <mergeCell ref="C57:D57"/>
    <mergeCell ref="C48:D48"/>
    <mergeCell ref="C49:D49"/>
    <mergeCell ref="C50:D50"/>
    <mergeCell ref="C51:D51"/>
    <mergeCell ref="C52:D52"/>
    <mergeCell ref="C53:D53"/>
    <mergeCell ref="C54:D5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3" width="26.5"/>
    <col customWidth="1" min="4" max="4" width="21.75"/>
    <col customWidth="1" min="5" max="5" width="8.75"/>
    <col customWidth="1" min="6" max="6" width="23.88"/>
  </cols>
  <sheetData>
    <row r="1" ht="25.5" customHeight="1">
      <c r="A1" s="81" t="s">
        <v>474</v>
      </c>
      <c r="B1" s="232" t="s">
        <v>239</v>
      </c>
      <c r="C1" s="84" t="s">
        <v>240</v>
      </c>
      <c r="D1" s="85" t="s">
        <v>242</v>
      </c>
      <c r="E1" s="86" t="s">
        <v>291</v>
      </c>
      <c r="F1" s="32" t="s">
        <v>243</v>
      </c>
    </row>
    <row r="2">
      <c r="A2" s="47" t="s">
        <v>42</v>
      </c>
      <c r="B2" s="42" t="s">
        <v>652</v>
      </c>
      <c r="C2" s="233" t="s">
        <v>45</v>
      </c>
      <c r="D2" s="234"/>
      <c r="E2" s="216">
        <v>15.0</v>
      </c>
      <c r="F2" s="74"/>
    </row>
    <row r="3">
      <c r="A3" s="47" t="s">
        <v>80</v>
      </c>
      <c r="B3" s="42" t="s">
        <v>653</v>
      </c>
      <c r="C3" s="233" t="s">
        <v>82</v>
      </c>
      <c r="D3" s="234"/>
      <c r="E3" s="72"/>
      <c r="F3" s="74"/>
    </row>
    <row r="4">
      <c r="A4" s="47" t="s">
        <v>107</v>
      </c>
      <c r="B4" s="53" t="s">
        <v>108</v>
      </c>
      <c r="C4" s="48" t="s">
        <v>654</v>
      </c>
      <c r="D4" s="234"/>
      <c r="E4" s="72"/>
      <c r="F4" s="74"/>
    </row>
    <row r="5">
      <c r="A5" s="47" t="s">
        <v>109</v>
      </c>
      <c r="B5" s="42" t="s">
        <v>655</v>
      </c>
      <c r="C5" s="233" t="s">
        <v>82</v>
      </c>
      <c r="D5" s="234"/>
      <c r="E5" s="72"/>
      <c r="F5" s="74"/>
    </row>
    <row r="6">
      <c r="A6" s="47" t="s">
        <v>174</v>
      </c>
      <c r="B6" s="42" t="s">
        <v>656</v>
      </c>
      <c r="C6" s="233" t="s">
        <v>176</v>
      </c>
      <c r="D6" s="234"/>
      <c r="E6" s="216">
        <v>15.0</v>
      </c>
      <c r="F6" s="74"/>
    </row>
    <row r="7">
      <c r="A7" s="41" t="s">
        <v>185</v>
      </c>
      <c r="B7" s="91" t="s">
        <v>186</v>
      </c>
      <c r="C7" s="233" t="s">
        <v>187</v>
      </c>
      <c r="D7" s="235"/>
      <c r="E7" s="62">
        <v>15.0</v>
      </c>
      <c r="F7" s="236" t="s">
        <v>22</v>
      </c>
    </row>
    <row r="8">
      <c r="A8" s="237" t="s">
        <v>657</v>
      </c>
      <c r="B8" s="68" t="s">
        <v>658</v>
      </c>
      <c r="C8" s="69" t="s">
        <v>659</v>
      </c>
      <c r="D8" s="238"/>
      <c r="E8" s="62">
        <v>15.0</v>
      </c>
      <c r="F8" s="74"/>
    </row>
    <row r="9">
      <c r="A9" s="237" t="s">
        <v>660</v>
      </c>
      <c r="B9" s="68" t="s">
        <v>661</v>
      </c>
      <c r="C9" s="239">
        <v>2.046748E7</v>
      </c>
      <c r="D9" s="238"/>
      <c r="E9" s="62">
        <v>15.0</v>
      </c>
      <c r="F9" s="74"/>
    </row>
    <row r="10">
      <c r="A10" s="237" t="s">
        <v>662</v>
      </c>
      <c r="B10" s="68" t="s">
        <v>663</v>
      </c>
      <c r="C10" s="69" t="s">
        <v>664</v>
      </c>
      <c r="D10" s="238"/>
      <c r="E10" s="62">
        <v>15.0</v>
      </c>
      <c r="F10" s="74"/>
    </row>
    <row r="11">
      <c r="A11" s="209" t="s">
        <v>665</v>
      </c>
      <c r="B11" s="188" t="s">
        <v>666</v>
      </c>
      <c r="C11" s="188" t="s">
        <v>667</v>
      </c>
      <c r="D11" s="73"/>
      <c r="E11" s="72"/>
      <c r="F11" s="74"/>
    </row>
    <row r="12">
      <c r="A12" s="76"/>
      <c r="B12" s="77"/>
      <c r="C12" s="78"/>
      <c r="D12" s="73"/>
      <c r="E12" s="72"/>
      <c r="F12" s="79"/>
    </row>
    <row r="13">
      <c r="A13" s="76"/>
      <c r="B13" s="77"/>
      <c r="C13" s="78"/>
      <c r="D13" s="73"/>
      <c r="E13" s="72"/>
      <c r="F13" s="74"/>
    </row>
    <row r="14">
      <c r="A14" s="76"/>
      <c r="B14" s="77"/>
      <c r="C14" s="78"/>
      <c r="D14" s="73"/>
      <c r="E14" s="72"/>
      <c r="F14" s="79"/>
    </row>
    <row r="15">
      <c r="A15" s="76"/>
      <c r="B15" s="77"/>
      <c r="C15" s="78"/>
      <c r="D15" s="73"/>
      <c r="E15" s="72"/>
      <c r="F15" s="74"/>
    </row>
    <row r="16">
      <c r="A16" s="76"/>
      <c r="B16" s="77"/>
      <c r="C16" s="78"/>
      <c r="D16" s="73"/>
      <c r="E16" s="72"/>
      <c r="F16" s="74"/>
    </row>
    <row r="17">
      <c r="A17" s="205"/>
      <c r="B17" s="77"/>
      <c r="C17" s="78"/>
      <c r="D17" s="73"/>
      <c r="E17" s="72"/>
      <c r="F17" s="74"/>
    </row>
    <row r="18">
      <c r="A18" s="76"/>
      <c r="B18" s="77"/>
      <c r="C18" s="78"/>
      <c r="D18" s="73"/>
      <c r="E18" s="72"/>
      <c r="F18" s="74"/>
    </row>
    <row r="19">
      <c r="A19" s="76"/>
      <c r="B19" s="240"/>
      <c r="C19" s="78"/>
      <c r="D19" s="73"/>
      <c r="E19" s="72"/>
      <c r="F19" s="74"/>
    </row>
    <row r="20">
      <c r="A20" s="76"/>
      <c r="B20" s="77"/>
      <c r="C20" s="78"/>
      <c r="D20" s="73"/>
      <c r="E20" s="72"/>
      <c r="F20" s="74"/>
    </row>
    <row r="21">
      <c r="A21" s="76"/>
      <c r="B21" s="77"/>
      <c r="C21" s="78"/>
      <c r="D21" s="73"/>
      <c r="E21" s="72"/>
      <c r="F21" s="74"/>
    </row>
    <row r="22">
      <c r="A22" s="76"/>
      <c r="B22" s="77"/>
      <c r="C22" s="78"/>
      <c r="D22" s="73"/>
      <c r="E22" s="72"/>
      <c r="F22" s="74"/>
    </row>
    <row r="23">
      <c r="A23" s="76"/>
      <c r="B23" s="77"/>
      <c r="C23" s="78"/>
      <c r="D23" s="73"/>
      <c r="E23" s="72"/>
      <c r="F23" s="74"/>
      <c r="G23" s="46"/>
    </row>
    <row r="24">
      <c r="A24" s="76"/>
      <c r="B24" s="77"/>
      <c r="C24" s="78"/>
      <c r="D24" s="73"/>
      <c r="E24" s="72"/>
      <c r="F24" s="74"/>
    </row>
    <row r="25">
      <c r="A25" s="76"/>
      <c r="B25" s="77"/>
      <c r="C25" s="78"/>
      <c r="D25" s="73"/>
      <c r="E25" s="72"/>
      <c r="F25" s="74"/>
    </row>
    <row r="26">
      <c r="A26" s="76"/>
      <c r="B26" s="77"/>
      <c r="C26" s="78"/>
      <c r="D26" s="73"/>
      <c r="E26" s="72"/>
      <c r="F26" s="74"/>
    </row>
    <row r="27">
      <c r="A27" s="76"/>
      <c r="B27" s="77"/>
      <c r="C27" s="78"/>
      <c r="D27" s="73"/>
      <c r="E27" s="72"/>
      <c r="F27" s="74"/>
      <c r="G27" s="46"/>
    </row>
    <row r="28">
      <c r="A28" s="76"/>
      <c r="B28" s="77"/>
      <c r="C28" s="78"/>
      <c r="D28" s="73"/>
      <c r="E28" s="72"/>
      <c r="F28" s="74"/>
    </row>
    <row r="29">
      <c r="A29" s="76"/>
      <c r="B29" s="77"/>
      <c r="C29" s="78"/>
      <c r="D29" s="73"/>
      <c r="E29" s="72"/>
      <c r="F29" s="74"/>
      <c r="G29" s="46"/>
    </row>
    <row r="30">
      <c r="A30" s="76"/>
      <c r="B30" s="77"/>
      <c r="C30" s="78"/>
      <c r="D30" s="73"/>
      <c r="E30" s="72"/>
      <c r="F30" s="74"/>
      <c r="G30" s="46"/>
    </row>
    <row r="31">
      <c r="A31" s="76"/>
      <c r="B31" s="77"/>
      <c r="C31" s="78"/>
      <c r="D31" s="73"/>
      <c r="E31" s="72"/>
      <c r="F31" s="74"/>
    </row>
    <row r="32">
      <c r="A32" s="76"/>
      <c r="B32" s="77"/>
      <c r="C32" s="78"/>
      <c r="D32" s="73"/>
      <c r="E32" s="72"/>
      <c r="F32" s="79"/>
    </row>
    <row r="33">
      <c r="A33" s="76"/>
      <c r="B33" s="77"/>
      <c r="C33" s="78"/>
      <c r="D33" s="73"/>
      <c r="E33" s="72"/>
      <c r="F33" s="74"/>
    </row>
    <row r="34">
      <c r="A34" s="76"/>
      <c r="B34" s="77"/>
      <c r="C34" s="78"/>
      <c r="D34" s="73"/>
      <c r="E34" s="72"/>
      <c r="F34" s="74"/>
    </row>
    <row r="35">
      <c r="A35" s="76"/>
      <c r="B35" s="77"/>
      <c r="C35" s="78"/>
      <c r="D35" s="73"/>
      <c r="E35" s="72"/>
      <c r="F35" s="74"/>
    </row>
    <row r="36">
      <c r="A36" s="76"/>
      <c r="B36" s="77"/>
      <c r="C36" s="78"/>
      <c r="D36" s="73"/>
      <c r="E36" s="72"/>
      <c r="F36" s="7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7.88"/>
    <col customWidth="1" min="3" max="3" width="25.75"/>
    <col customWidth="1" min="4" max="4" width="15.25"/>
    <col customWidth="1" min="5" max="5" width="8.75"/>
    <col customWidth="1" min="6" max="6" width="21.75"/>
    <col customWidth="1" min="7" max="7" width="23.88"/>
    <col customWidth="1" min="8" max="8" width="19.75"/>
  </cols>
  <sheetData>
    <row r="1" ht="25.5" customHeight="1">
      <c r="A1" s="26" t="s">
        <v>238</v>
      </c>
      <c r="B1" s="241" t="s">
        <v>53</v>
      </c>
      <c r="C1" s="136" t="s">
        <v>239</v>
      </c>
      <c r="D1" s="84" t="s">
        <v>240</v>
      </c>
      <c r="E1" s="242" t="s">
        <v>241</v>
      </c>
      <c r="F1" s="85" t="s">
        <v>242</v>
      </c>
      <c r="G1" s="32" t="s">
        <v>243</v>
      </c>
    </row>
    <row r="2">
      <c r="A2" s="243">
        <v>1404.0</v>
      </c>
      <c r="B2" s="244" t="s">
        <v>668</v>
      </c>
      <c r="C2" s="109" t="s">
        <v>669</v>
      </c>
      <c r="D2" s="110" t="s">
        <v>670</v>
      </c>
      <c r="E2" s="44" t="s">
        <v>16</v>
      </c>
      <c r="F2" s="245"/>
      <c r="G2" s="246"/>
    </row>
    <row r="3">
      <c r="A3" s="247" t="s">
        <v>671</v>
      </c>
      <c r="B3" s="244" t="s">
        <v>415</v>
      </c>
      <c r="C3" s="109" t="s">
        <v>672</v>
      </c>
      <c r="D3" s="110" t="s">
        <v>152</v>
      </c>
      <c r="E3" s="62" t="s">
        <v>23</v>
      </c>
      <c r="F3" s="38"/>
      <c r="G3" s="246"/>
    </row>
    <row r="4">
      <c r="A4" s="199" t="s">
        <v>673</v>
      </c>
      <c r="B4" s="237" t="s">
        <v>674</v>
      </c>
      <c r="C4" s="107" t="s">
        <v>675</v>
      </c>
      <c r="D4" s="211" t="s">
        <v>595</v>
      </c>
      <c r="E4" s="62" t="s">
        <v>16</v>
      </c>
      <c r="F4" s="245"/>
      <c r="G4" s="248" t="s">
        <v>676</v>
      </c>
    </row>
    <row r="5">
      <c r="A5" s="199" t="s">
        <v>677</v>
      </c>
      <c r="B5" s="237" t="s">
        <v>674</v>
      </c>
      <c r="C5" s="107" t="s">
        <v>678</v>
      </c>
      <c r="D5" s="211" t="s">
        <v>595</v>
      </c>
      <c r="E5" s="62" t="s">
        <v>16</v>
      </c>
      <c r="F5" s="245"/>
      <c r="G5" s="248" t="s">
        <v>676</v>
      </c>
    </row>
    <row r="6">
      <c r="A6" s="247" t="s">
        <v>679</v>
      </c>
      <c r="B6" s="244" t="s">
        <v>680</v>
      </c>
      <c r="C6" s="109" t="s">
        <v>681</v>
      </c>
      <c r="D6" s="110" t="s">
        <v>36</v>
      </c>
      <c r="E6" s="44" t="s">
        <v>16</v>
      </c>
      <c r="F6" s="245"/>
      <c r="G6" s="246"/>
    </row>
    <row r="7">
      <c r="A7" s="199" t="s">
        <v>682</v>
      </c>
      <c r="B7" s="237" t="s">
        <v>415</v>
      </c>
      <c r="C7" s="107" t="s">
        <v>683</v>
      </c>
      <c r="D7" s="249" t="s">
        <v>595</v>
      </c>
      <c r="E7" s="62"/>
      <c r="F7" s="245"/>
      <c r="G7" s="250"/>
    </row>
    <row r="8">
      <c r="A8" s="199" t="s">
        <v>684</v>
      </c>
      <c r="B8" s="237" t="s">
        <v>415</v>
      </c>
      <c r="C8" s="107" t="s">
        <v>685</v>
      </c>
      <c r="D8" s="211" t="s">
        <v>595</v>
      </c>
      <c r="E8" s="62"/>
      <c r="F8" s="245"/>
      <c r="G8" s="250"/>
    </row>
    <row r="9">
      <c r="A9" s="199" t="s">
        <v>686</v>
      </c>
      <c r="B9" s="237" t="s">
        <v>674</v>
      </c>
      <c r="C9" s="107" t="s">
        <v>687</v>
      </c>
      <c r="D9" s="249" t="s">
        <v>595</v>
      </c>
      <c r="E9" s="62" t="s">
        <v>16</v>
      </c>
      <c r="F9" s="245"/>
      <c r="G9" s="251" t="s">
        <v>676</v>
      </c>
    </row>
    <row r="10">
      <c r="A10" s="252" t="s">
        <v>688</v>
      </c>
      <c r="B10" s="253" t="s">
        <v>674</v>
      </c>
      <c r="C10" s="254" t="s">
        <v>689</v>
      </c>
      <c r="D10" s="255" t="s">
        <v>82</v>
      </c>
      <c r="E10" s="44" t="s">
        <v>16</v>
      </c>
      <c r="F10" s="245"/>
      <c r="G10" s="246"/>
      <c r="H10" s="46" t="s">
        <v>690</v>
      </c>
    </row>
    <row r="11">
      <c r="A11" s="247" t="s">
        <v>691</v>
      </c>
      <c r="B11" s="244" t="s">
        <v>47</v>
      </c>
      <c r="C11" s="109" t="s">
        <v>308</v>
      </c>
      <c r="D11" s="110" t="s">
        <v>155</v>
      </c>
      <c r="E11" s="44" t="s">
        <v>16</v>
      </c>
      <c r="F11" s="245"/>
      <c r="G11" s="246"/>
    </row>
    <row r="12">
      <c r="A12" s="256" t="s">
        <v>662</v>
      </c>
      <c r="B12" s="257" t="s">
        <v>43</v>
      </c>
      <c r="C12" s="258" t="s">
        <v>663</v>
      </c>
      <c r="D12" s="239" t="s">
        <v>664</v>
      </c>
      <c r="E12" s="44" t="s">
        <v>16</v>
      </c>
      <c r="F12" s="245"/>
      <c r="G12" s="246"/>
    </row>
    <row r="13">
      <c r="A13" s="247" t="s">
        <v>692</v>
      </c>
      <c r="B13" s="244" t="s">
        <v>415</v>
      </c>
      <c r="C13" s="109" t="s">
        <v>693</v>
      </c>
      <c r="D13" s="110" t="s">
        <v>152</v>
      </c>
      <c r="E13" s="62" t="s">
        <v>23</v>
      </c>
      <c r="F13" s="245"/>
      <c r="G13" s="246"/>
      <c r="H13" s="259" t="s">
        <v>694</v>
      </c>
    </row>
    <row r="14">
      <c r="A14" s="256" t="s">
        <v>695</v>
      </c>
      <c r="B14" s="257"/>
      <c r="C14" s="258" t="s">
        <v>696</v>
      </c>
      <c r="D14" s="239" t="s">
        <v>697</v>
      </c>
      <c r="E14" s="62" t="s">
        <v>12</v>
      </c>
      <c r="F14" s="260" t="s">
        <v>698</v>
      </c>
      <c r="G14" s="246"/>
      <c r="H14" s="251" t="s">
        <v>699</v>
      </c>
    </row>
    <row r="15">
      <c r="A15" s="261" t="s">
        <v>18</v>
      </c>
      <c r="B15" s="262" t="s">
        <v>262</v>
      </c>
      <c r="C15" s="263" t="s">
        <v>20</v>
      </c>
      <c r="D15" s="264" t="s">
        <v>21</v>
      </c>
      <c r="E15" s="44" t="s">
        <v>16</v>
      </c>
      <c r="F15" s="245"/>
      <c r="G15" s="246"/>
      <c r="H15" s="265"/>
    </row>
    <row r="16">
      <c r="A16" s="247" t="s">
        <v>700</v>
      </c>
      <c r="B16" s="244" t="s">
        <v>135</v>
      </c>
      <c r="C16" s="109" t="s">
        <v>701</v>
      </c>
      <c r="D16" s="110" t="s">
        <v>152</v>
      </c>
      <c r="E16" s="62" t="s">
        <v>12</v>
      </c>
      <c r="F16" s="245"/>
      <c r="G16" s="246"/>
      <c r="H16" s="266"/>
    </row>
    <row r="17">
      <c r="A17" s="247" t="s">
        <v>508</v>
      </c>
      <c r="B17" s="244" t="s">
        <v>702</v>
      </c>
      <c r="C17" s="109" t="s">
        <v>509</v>
      </c>
      <c r="D17" s="110" t="s">
        <v>152</v>
      </c>
      <c r="E17" s="44" t="s">
        <v>16</v>
      </c>
      <c r="F17" s="245"/>
      <c r="G17" s="246"/>
    </row>
    <row r="18">
      <c r="A18" s="247" t="s">
        <v>703</v>
      </c>
      <c r="B18" s="99"/>
      <c r="C18" s="109" t="s">
        <v>704</v>
      </c>
      <c r="D18" s="110" t="s">
        <v>152</v>
      </c>
      <c r="E18" s="62" t="s">
        <v>12</v>
      </c>
      <c r="F18" s="245"/>
      <c r="G18" s="246"/>
      <c r="H18" s="251" t="s">
        <v>705</v>
      </c>
      <c r="I18" s="46" t="s">
        <v>706</v>
      </c>
    </row>
    <row r="19">
      <c r="A19" s="252" t="s">
        <v>517</v>
      </c>
      <c r="B19" s="257" t="s">
        <v>53</v>
      </c>
      <c r="C19" s="267" t="s">
        <v>54</v>
      </c>
      <c r="D19" s="255" t="s">
        <v>55</v>
      </c>
      <c r="E19" s="44" t="s">
        <v>16</v>
      </c>
      <c r="F19" s="73"/>
      <c r="G19" s="246"/>
    </row>
    <row r="20">
      <c r="A20" s="268" t="s">
        <v>707</v>
      </c>
      <c r="B20" s="268" t="s">
        <v>708</v>
      </c>
      <c r="C20" s="268" t="s">
        <v>709</v>
      </c>
      <c r="D20" s="268" t="s">
        <v>710</v>
      </c>
      <c r="E20" s="269" t="s">
        <v>16</v>
      </c>
      <c r="F20" s="245"/>
      <c r="G20" s="246"/>
    </row>
    <row r="21">
      <c r="A21" s="270" t="s">
        <v>711</v>
      </c>
      <c r="B21" s="271" t="s">
        <v>29</v>
      </c>
      <c r="C21" s="258" t="s">
        <v>712</v>
      </c>
      <c r="D21" s="272" t="s">
        <v>58</v>
      </c>
      <c r="E21" s="273" t="s">
        <v>12</v>
      </c>
      <c r="F21" s="274" t="s">
        <v>713</v>
      </c>
      <c r="G21" s="246"/>
      <c r="H21" s="265"/>
    </row>
    <row r="22">
      <c r="A22" s="261" t="s">
        <v>56</v>
      </c>
      <c r="B22" s="275" t="s">
        <v>29</v>
      </c>
      <c r="C22" s="276" t="s">
        <v>57</v>
      </c>
      <c r="D22" s="277" t="s">
        <v>58</v>
      </c>
      <c r="E22" s="62" t="s">
        <v>714</v>
      </c>
      <c r="F22" s="208"/>
      <c r="G22" s="74"/>
    </row>
    <row r="23">
      <c r="A23" s="261" t="s">
        <v>59</v>
      </c>
      <c r="B23" s="275" t="s">
        <v>29</v>
      </c>
      <c r="C23" s="276" t="s">
        <v>60</v>
      </c>
      <c r="D23" s="277" t="s">
        <v>61</v>
      </c>
      <c r="E23" s="62" t="s">
        <v>237</v>
      </c>
      <c r="F23" s="208"/>
      <c r="G23" s="74"/>
    </row>
    <row r="24">
      <c r="A24" s="261" t="s">
        <v>66</v>
      </c>
      <c r="B24" s="262" t="s">
        <v>262</v>
      </c>
      <c r="C24" s="276" t="s">
        <v>67</v>
      </c>
      <c r="D24" s="264" t="s">
        <v>715</v>
      </c>
      <c r="E24" s="44" t="s">
        <v>16</v>
      </c>
      <c r="F24" s="208"/>
      <c r="G24" s="74"/>
    </row>
    <row r="25">
      <c r="A25" s="199" t="s">
        <v>716</v>
      </c>
      <c r="B25" s="237" t="s">
        <v>167</v>
      </c>
      <c r="C25" s="107" t="s">
        <v>717</v>
      </c>
      <c r="D25" s="211" t="s">
        <v>595</v>
      </c>
      <c r="E25" s="62" t="s">
        <v>16</v>
      </c>
      <c r="F25" s="245"/>
      <c r="G25" s="246"/>
    </row>
    <row r="26">
      <c r="A26" s="247" t="s">
        <v>718</v>
      </c>
      <c r="B26" s="99"/>
      <c r="C26" s="109" t="s">
        <v>719</v>
      </c>
      <c r="D26" s="211"/>
      <c r="E26" s="62" t="s">
        <v>12</v>
      </c>
      <c r="F26" s="245"/>
      <c r="G26" s="246"/>
    </row>
    <row r="27">
      <c r="A27" s="278" t="s">
        <v>720</v>
      </c>
      <c r="B27" s="279" t="s">
        <v>47</v>
      </c>
      <c r="C27" s="276" t="s">
        <v>74</v>
      </c>
      <c r="D27" s="277" t="s">
        <v>75</v>
      </c>
      <c r="E27" s="280" t="s">
        <v>16</v>
      </c>
      <c r="F27" s="208"/>
      <c r="G27" s="74"/>
      <c r="I27" s="46" t="s">
        <v>721</v>
      </c>
    </row>
    <row r="28">
      <c r="A28" s="261" t="s">
        <v>76</v>
      </c>
      <c r="B28" s="253" t="s">
        <v>722</v>
      </c>
      <c r="C28" s="276" t="s">
        <v>78</v>
      </c>
      <c r="D28" s="277" t="s">
        <v>79</v>
      </c>
      <c r="E28" s="44" t="s">
        <v>16</v>
      </c>
      <c r="F28" s="208"/>
      <c r="G28" s="74"/>
    </row>
    <row r="29">
      <c r="A29" s="256" t="s">
        <v>657</v>
      </c>
      <c r="B29" s="257" t="s">
        <v>43</v>
      </c>
      <c r="C29" s="258" t="s">
        <v>723</v>
      </c>
      <c r="D29" s="239" t="s">
        <v>659</v>
      </c>
      <c r="E29" s="44" t="s">
        <v>16</v>
      </c>
      <c r="F29" s="38"/>
      <c r="G29" s="246"/>
      <c r="H29" s="265"/>
    </row>
    <row r="30">
      <c r="A30" s="247" t="s">
        <v>724</v>
      </c>
      <c r="B30" s="244" t="s">
        <v>47</v>
      </c>
      <c r="C30" s="109" t="s">
        <v>725</v>
      </c>
      <c r="D30" s="110" t="s">
        <v>726</v>
      </c>
      <c r="E30" s="44" t="s">
        <v>16</v>
      </c>
      <c r="F30" s="38"/>
      <c r="G30" s="246"/>
    </row>
    <row r="31">
      <c r="A31" s="256" t="s">
        <v>727</v>
      </c>
      <c r="B31" s="257"/>
      <c r="C31" s="258" t="s">
        <v>728</v>
      </c>
      <c r="D31" s="239" t="s">
        <v>729</v>
      </c>
      <c r="E31" s="62" t="s">
        <v>12</v>
      </c>
      <c r="F31" s="38"/>
      <c r="G31" s="246"/>
      <c r="H31" s="251" t="s">
        <v>730</v>
      </c>
    </row>
    <row r="32">
      <c r="A32" s="252" t="s">
        <v>731</v>
      </c>
      <c r="B32" s="253" t="s">
        <v>722</v>
      </c>
      <c r="C32" s="267" t="s">
        <v>732</v>
      </c>
      <c r="D32" s="281" t="s">
        <v>334</v>
      </c>
      <c r="E32" s="44" t="s">
        <v>16</v>
      </c>
      <c r="F32" s="38"/>
      <c r="G32" s="246"/>
      <c r="H32" s="266"/>
    </row>
    <row r="33">
      <c r="A33" s="199" t="s">
        <v>733</v>
      </c>
      <c r="B33" s="237" t="s">
        <v>415</v>
      </c>
      <c r="C33" s="107" t="s">
        <v>734</v>
      </c>
      <c r="D33" s="249" t="s">
        <v>595</v>
      </c>
      <c r="E33" s="62"/>
      <c r="F33" s="38"/>
      <c r="G33" s="246"/>
    </row>
    <row r="34">
      <c r="A34" s="261" t="s">
        <v>83</v>
      </c>
      <c r="B34" s="275" t="s">
        <v>47</v>
      </c>
      <c r="C34" s="276" t="s">
        <v>84</v>
      </c>
      <c r="D34" s="277" t="s">
        <v>85</v>
      </c>
      <c r="E34" s="44" t="s">
        <v>16</v>
      </c>
      <c r="F34" s="282"/>
      <c r="G34" s="74"/>
    </row>
    <row r="35">
      <c r="A35" s="199" t="s">
        <v>735</v>
      </c>
      <c r="B35" s="237" t="s">
        <v>674</v>
      </c>
      <c r="C35" s="107" t="s">
        <v>736</v>
      </c>
      <c r="D35" s="211" t="s">
        <v>595</v>
      </c>
      <c r="E35" s="62" t="s">
        <v>16</v>
      </c>
      <c r="F35" s="38"/>
      <c r="G35" s="248" t="s">
        <v>676</v>
      </c>
    </row>
    <row r="36">
      <c r="A36" s="283" t="s">
        <v>737</v>
      </c>
      <c r="B36" s="284" t="s">
        <v>415</v>
      </c>
      <c r="C36" s="283" t="s">
        <v>738</v>
      </c>
      <c r="D36" s="283" t="s">
        <v>739</v>
      </c>
      <c r="E36" s="285"/>
      <c r="F36" s="286"/>
      <c r="G36" s="246"/>
    </row>
    <row r="37">
      <c r="A37" s="287" t="s">
        <v>86</v>
      </c>
      <c r="B37" s="287" t="s">
        <v>47</v>
      </c>
      <c r="C37" s="288" t="s">
        <v>740</v>
      </c>
      <c r="D37" s="288" t="s">
        <v>88</v>
      </c>
      <c r="E37" s="44" t="s">
        <v>16</v>
      </c>
      <c r="F37" s="282"/>
      <c r="G37" s="74"/>
    </row>
    <row r="38">
      <c r="A38" s="247" t="s">
        <v>539</v>
      </c>
      <c r="B38" s="244" t="s">
        <v>53</v>
      </c>
      <c r="C38" s="109" t="s">
        <v>540</v>
      </c>
      <c r="D38" s="110" t="s">
        <v>152</v>
      </c>
      <c r="E38" s="44" t="s">
        <v>16</v>
      </c>
      <c r="F38" s="38"/>
      <c r="G38" s="246"/>
    </row>
    <row r="39">
      <c r="A39" s="247" t="s">
        <v>741</v>
      </c>
      <c r="B39" s="244" t="s">
        <v>47</v>
      </c>
      <c r="C39" s="109" t="s">
        <v>742</v>
      </c>
      <c r="D39" s="110" t="s">
        <v>152</v>
      </c>
      <c r="E39" s="44" t="s">
        <v>16</v>
      </c>
      <c r="F39" s="38"/>
      <c r="G39" s="246"/>
    </row>
    <row r="40">
      <c r="A40" s="261" t="s">
        <v>89</v>
      </c>
      <c r="B40" s="262" t="s">
        <v>262</v>
      </c>
      <c r="C40" s="276" t="s">
        <v>90</v>
      </c>
      <c r="D40" s="277" t="s">
        <v>91</v>
      </c>
      <c r="E40" s="44" t="s">
        <v>16</v>
      </c>
      <c r="F40" s="289"/>
      <c r="G40" s="74"/>
    </row>
    <row r="41">
      <c r="A41" s="247" t="s">
        <v>743</v>
      </c>
      <c r="B41" s="71" t="s">
        <v>47</v>
      </c>
      <c r="C41" s="109" t="s">
        <v>744</v>
      </c>
      <c r="D41" s="110" t="s">
        <v>152</v>
      </c>
      <c r="E41" s="44" t="s">
        <v>16</v>
      </c>
      <c r="F41" s="38"/>
      <c r="G41" s="246"/>
    </row>
    <row r="42">
      <c r="A42" s="247" t="s">
        <v>745</v>
      </c>
      <c r="B42" s="71" t="s">
        <v>47</v>
      </c>
      <c r="C42" s="109" t="s">
        <v>746</v>
      </c>
      <c r="D42" s="110" t="s">
        <v>152</v>
      </c>
      <c r="E42" s="44" t="s">
        <v>16</v>
      </c>
      <c r="F42" s="38"/>
      <c r="G42" s="246"/>
    </row>
    <row r="43">
      <c r="A43" s="290" t="s">
        <v>122</v>
      </c>
      <c r="B43" s="262"/>
      <c r="C43" s="291" t="s">
        <v>124</v>
      </c>
      <c r="D43" s="292" t="s">
        <v>125</v>
      </c>
      <c r="E43" s="62" t="s">
        <v>237</v>
      </c>
      <c r="F43" s="293" t="s">
        <v>127</v>
      </c>
      <c r="G43" s="74"/>
      <c r="H43" s="294"/>
    </row>
    <row r="44">
      <c r="A44" s="290" t="s">
        <v>132</v>
      </c>
      <c r="B44" s="295" t="s">
        <v>47</v>
      </c>
      <c r="C44" s="263" t="s">
        <v>747</v>
      </c>
      <c r="D44" s="292" t="s">
        <v>75</v>
      </c>
      <c r="E44" s="44" t="s">
        <v>16</v>
      </c>
      <c r="F44" s="245"/>
      <c r="G44" s="246"/>
      <c r="H44" s="265"/>
    </row>
    <row r="45">
      <c r="A45" s="296" t="s">
        <v>748</v>
      </c>
      <c r="B45" s="71" t="s">
        <v>680</v>
      </c>
      <c r="C45" s="109" t="s">
        <v>749</v>
      </c>
      <c r="D45" s="220" t="s">
        <v>750</v>
      </c>
      <c r="E45" s="44" t="s">
        <v>16</v>
      </c>
      <c r="F45" s="245"/>
      <c r="G45" s="246"/>
      <c r="H45" s="46" t="s">
        <v>751</v>
      </c>
    </row>
    <row r="46">
      <c r="A46" s="297" t="s">
        <v>752</v>
      </c>
      <c r="B46" s="253" t="s">
        <v>429</v>
      </c>
      <c r="C46" s="267" t="s">
        <v>753</v>
      </c>
      <c r="D46" s="298" t="s">
        <v>754</v>
      </c>
      <c r="E46" s="44" t="s">
        <v>16</v>
      </c>
      <c r="F46" s="208" t="s">
        <v>755</v>
      </c>
      <c r="G46" s="299" t="s">
        <v>756</v>
      </c>
    </row>
    <row r="47">
      <c r="A47" s="300" t="s">
        <v>757</v>
      </c>
      <c r="B47" s="301" t="s">
        <v>135</v>
      </c>
      <c r="C47" s="258" t="s">
        <v>758</v>
      </c>
      <c r="D47" s="302" t="s">
        <v>759</v>
      </c>
      <c r="E47" s="62" t="s">
        <v>12</v>
      </c>
      <c r="F47" s="245"/>
      <c r="G47" s="246"/>
      <c r="H47" s="251"/>
    </row>
    <row r="48">
      <c r="A48" s="290" t="s">
        <v>134</v>
      </c>
      <c r="B48" s="303" t="s">
        <v>135</v>
      </c>
      <c r="C48" s="276" t="s">
        <v>136</v>
      </c>
      <c r="D48" s="304" t="s">
        <v>760</v>
      </c>
      <c r="E48" s="44" t="s">
        <v>16</v>
      </c>
      <c r="F48" s="208"/>
      <c r="G48" s="305"/>
      <c r="H48" s="306"/>
    </row>
    <row r="49">
      <c r="A49" s="296" t="s">
        <v>556</v>
      </c>
      <c r="B49" s="71" t="s">
        <v>53</v>
      </c>
      <c r="C49" s="109" t="s">
        <v>557</v>
      </c>
      <c r="D49" s="220" t="s">
        <v>152</v>
      </c>
      <c r="E49" s="44" t="s">
        <v>16</v>
      </c>
      <c r="F49" s="245"/>
      <c r="G49" s="246"/>
    </row>
    <row r="50">
      <c r="A50" s="307" t="s">
        <v>138</v>
      </c>
      <c r="B50" s="51" t="s">
        <v>668</v>
      </c>
      <c r="C50" s="308" t="s">
        <v>139</v>
      </c>
      <c r="D50" s="309" t="s">
        <v>140</v>
      </c>
      <c r="E50" s="44" t="s">
        <v>16</v>
      </c>
      <c r="F50" s="310"/>
      <c r="G50" s="79"/>
    </row>
    <row r="51">
      <c r="A51" s="307" t="s">
        <v>147</v>
      </c>
      <c r="B51" s="287"/>
      <c r="C51" s="288" t="s">
        <v>148</v>
      </c>
      <c r="D51" s="309" t="s">
        <v>149</v>
      </c>
      <c r="E51" s="44" t="s">
        <v>12</v>
      </c>
      <c r="F51" s="73"/>
      <c r="G51" s="39"/>
      <c r="H51" s="251" t="s">
        <v>761</v>
      </c>
    </row>
    <row r="52">
      <c r="A52" s="290" t="s">
        <v>150</v>
      </c>
      <c r="B52" s="253" t="s">
        <v>674</v>
      </c>
      <c r="C52" s="276" t="s">
        <v>151</v>
      </c>
      <c r="D52" s="311" t="s">
        <v>152</v>
      </c>
      <c r="E52" s="44" t="s">
        <v>16</v>
      </c>
      <c r="F52" s="73"/>
      <c r="G52" s="74"/>
    </row>
    <row r="53">
      <c r="A53" s="290" t="s">
        <v>153</v>
      </c>
      <c r="B53" s="275" t="s">
        <v>53</v>
      </c>
      <c r="C53" s="276" t="s">
        <v>154</v>
      </c>
      <c r="D53" s="311" t="s">
        <v>155</v>
      </c>
      <c r="E53" s="44" t="s">
        <v>16</v>
      </c>
      <c r="F53" s="73"/>
      <c r="G53" s="39"/>
    </row>
    <row r="54">
      <c r="A54" s="312" t="s">
        <v>762</v>
      </c>
      <c r="B54" s="313" t="s">
        <v>674</v>
      </c>
      <c r="C54" s="107" t="s">
        <v>763</v>
      </c>
      <c r="D54" s="78" t="s">
        <v>595</v>
      </c>
      <c r="E54" s="62" t="s">
        <v>16</v>
      </c>
      <c r="F54" s="245"/>
      <c r="G54" s="248" t="s">
        <v>676</v>
      </c>
    </row>
    <row r="55">
      <c r="A55" s="290" t="s">
        <v>160</v>
      </c>
      <c r="B55" s="314" t="s">
        <v>708</v>
      </c>
      <c r="C55" s="263" t="s">
        <v>162</v>
      </c>
      <c r="D55" s="292" t="s">
        <v>163</v>
      </c>
      <c r="E55" s="62" t="s">
        <v>12</v>
      </c>
      <c r="F55" s="260" t="s">
        <v>764</v>
      </c>
      <c r="G55" s="246"/>
      <c r="H55" s="265"/>
    </row>
    <row r="56">
      <c r="A56" s="296" t="s">
        <v>765</v>
      </c>
      <c r="B56" s="71" t="s">
        <v>708</v>
      </c>
      <c r="C56" s="109" t="s">
        <v>766</v>
      </c>
      <c r="D56" s="220" t="s">
        <v>767</v>
      </c>
      <c r="E56" s="44" t="s">
        <v>16</v>
      </c>
      <c r="F56" s="245"/>
      <c r="G56" s="246"/>
      <c r="H56" s="46" t="s">
        <v>768</v>
      </c>
    </row>
    <row r="57">
      <c r="A57" s="300" t="s">
        <v>769</v>
      </c>
      <c r="B57" s="301" t="s">
        <v>135</v>
      </c>
      <c r="C57" s="258" t="s">
        <v>770</v>
      </c>
      <c r="D57" s="302" t="s">
        <v>579</v>
      </c>
      <c r="E57" s="62" t="s">
        <v>12</v>
      </c>
      <c r="F57" s="245"/>
      <c r="G57" s="248"/>
      <c r="H57" s="251"/>
    </row>
    <row r="58">
      <c r="A58" s="290" t="s">
        <v>771</v>
      </c>
      <c r="B58" s="314" t="s">
        <v>47</v>
      </c>
      <c r="C58" s="315" t="s">
        <v>168</v>
      </c>
      <c r="D58" s="292" t="s">
        <v>169</v>
      </c>
      <c r="E58" s="44" t="s">
        <v>16</v>
      </c>
      <c r="F58" s="208"/>
      <c r="G58" s="74"/>
      <c r="H58" s="46" t="s">
        <v>772</v>
      </c>
    </row>
    <row r="59">
      <c r="A59" s="316" t="s">
        <v>773</v>
      </c>
      <c r="B59" s="313" t="s">
        <v>135</v>
      </c>
      <c r="C59" s="68" t="s">
        <v>774</v>
      </c>
      <c r="D59" s="317" t="s">
        <v>775</v>
      </c>
      <c r="E59" s="62" t="s">
        <v>12</v>
      </c>
      <c r="F59" s="245"/>
      <c r="G59" s="246"/>
    </row>
    <row r="60">
      <c r="A60" s="296" t="s">
        <v>587</v>
      </c>
      <c r="B60" s="71" t="s">
        <v>53</v>
      </c>
      <c r="C60" s="109" t="s">
        <v>588</v>
      </c>
      <c r="D60" s="220" t="s">
        <v>152</v>
      </c>
      <c r="E60" s="62"/>
      <c r="F60" s="245"/>
      <c r="G60" s="246"/>
    </row>
    <row r="61">
      <c r="A61" s="296" t="s">
        <v>589</v>
      </c>
      <c r="B61" s="71" t="s">
        <v>53</v>
      </c>
      <c r="C61" s="109" t="s">
        <v>590</v>
      </c>
      <c r="D61" s="220" t="s">
        <v>579</v>
      </c>
      <c r="E61" s="62"/>
      <c r="F61" s="245"/>
      <c r="G61" s="246"/>
    </row>
    <row r="62">
      <c r="A62" s="296" t="s">
        <v>776</v>
      </c>
      <c r="B62" s="71" t="s">
        <v>777</v>
      </c>
      <c r="C62" s="109" t="s">
        <v>778</v>
      </c>
      <c r="D62" s="220" t="s">
        <v>152</v>
      </c>
      <c r="E62" s="44" t="s">
        <v>16</v>
      </c>
      <c r="F62" s="245"/>
      <c r="G62" s="246"/>
    </row>
    <row r="63">
      <c r="A63" s="290" t="s">
        <v>177</v>
      </c>
      <c r="B63" s="295" t="s">
        <v>53</v>
      </c>
      <c r="C63" s="276" t="s">
        <v>178</v>
      </c>
      <c r="D63" s="311" t="s">
        <v>152</v>
      </c>
      <c r="E63" s="44" t="s">
        <v>16</v>
      </c>
      <c r="F63" s="73"/>
      <c r="G63" s="74"/>
    </row>
    <row r="64">
      <c r="A64" s="312" t="s">
        <v>779</v>
      </c>
      <c r="B64" s="313" t="s">
        <v>167</v>
      </c>
      <c r="C64" s="107" t="s">
        <v>780</v>
      </c>
      <c r="D64" s="78" t="s">
        <v>595</v>
      </c>
      <c r="E64" s="62"/>
      <c r="F64" s="245"/>
      <c r="G64" s="246"/>
    </row>
    <row r="65">
      <c r="A65" s="296" t="s">
        <v>781</v>
      </c>
      <c r="B65" s="313" t="s">
        <v>782</v>
      </c>
      <c r="C65" s="109" t="s">
        <v>783</v>
      </c>
      <c r="D65" s="220" t="s">
        <v>784</v>
      </c>
      <c r="E65" s="44" t="s">
        <v>16</v>
      </c>
      <c r="F65" s="245"/>
      <c r="G65" s="246"/>
    </row>
    <row r="66">
      <c r="A66" s="296" t="s">
        <v>785</v>
      </c>
      <c r="B66" s="313" t="s">
        <v>782</v>
      </c>
      <c r="C66" s="109" t="s">
        <v>786</v>
      </c>
      <c r="D66" s="220" t="s">
        <v>787</v>
      </c>
      <c r="E66" s="44" t="s">
        <v>16</v>
      </c>
      <c r="F66" s="245"/>
      <c r="G66" s="246"/>
    </row>
    <row r="67">
      <c r="A67" s="290" t="s">
        <v>185</v>
      </c>
      <c r="B67" s="295" t="s">
        <v>43</v>
      </c>
      <c r="C67" s="276" t="s">
        <v>186</v>
      </c>
      <c r="D67" s="311" t="s">
        <v>187</v>
      </c>
      <c r="E67" s="44" t="s">
        <v>16</v>
      </c>
      <c r="F67" s="208"/>
      <c r="G67" s="39"/>
    </row>
    <row r="68">
      <c r="A68" s="290" t="s">
        <v>188</v>
      </c>
      <c r="B68" s="303" t="s">
        <v>674</v>
      </c>
      <c r="C68" s="276" t="s">
        <v>189</v>
      </c>
      <c r="D68" s="311" t="s">
        <v>152</v>
      </c>
      <c r="E68" s="44" t="s">
        <v>16</v>
      </c>
      <c r="F68" s="73"/>
      <c r="G68" s="39"/>
    </row>
    <row r="69">
      <c r="A69" s="312" t="s">
        <v>788</v>
      </c>
      <c r="B69" s="313" t="s">
        <v>415</v>
      </c>
      <c r="C69" s="107" t="s">
        <v>789</v>
      </c>
      <c r="D69" s="78" t="s">
        <v>790</v>
      </c>
      <c r="E69" s="62"/>
      <c r="F69" s="245"/>
      <c r="G69" s="246"/>
    </row>
    <row r="70">
      <c r="A70" s="290" t="s">
        <v>190</v>
      </c>
      <c r="B70" s="313" t="s">
        <v>782</v>
      </c>
      <c r="C70" s="276" t="s">
        <v>192</v>
      </c>
      <c r="D70" s="311" t="s">
        <v>193</v>
      </c>
      <c r="E70" s="44" t="s">
        <v>16</v>
      </c>
      <c r="F70" s="73"/>
      <c r="G70" s="39"/>
    </row>
    <row r="71">
      <c r="A71" s="312" t="s">
        <v>791</v>
      </c>
      <c r="B71" s="313" t="s">
        <v>674</v>
      </c>
      <c r="C71" s="107" t="s">
        <v>792</v>
      </c>
      <c r="D71" s="78" t="s">
        <v>595</v>
      </c>
      <c r="E71" s="62" t="s">
        <v>16</v>
      </c>
      <c r="F71" s="245"/>
      <c r="G71" s="248" t="s">
        <v>676</v>
      </c>
    </row>
    <row r="72">
      <c r="A72" s="199" t="s">
        <v>596</v>
      </c>
      <c r="B72" s="237" t="s">
        <v>782</v>
      </c>
      <c r="C72" s="107" t="s">
        <v>597</v>
      </c>
      <c r="D72" s="211" t="s">
        <v>598</v>
      </c>
      <c r="E72" s="62" t="s">
        <v>16</v>
      </c>
      <c r="F72" s="245"/>
      <c r="G72" s="246"/>
    </row>
    <row r="73">
      <c r="A73" s="296" t="s">
        <v>793</v>
      </c>
      <c r="B73" s="244" t="s">
        <v>777</v>
      </c>
      <c r="C73" s="219" t="s">
        <v>794</v>
      </c>
      <c r="D73" s="220" t="s">
        <v>152</v>
      </c>
      <c r="E73" s="44" t="s">
        <v>16</v>
      </c>
      <c r="F73" s="245"/>
      <c r="G73" s="246"/>
    </row>
    <row r="74">
      <c r="A74" s="290" t="s">
        <v>194</v>
      </c>
      <c r="B74" s="262" t="s">
        <v>135</v>
      </c>
      <c r="C74" s="291" t="s">
        <v>795</v>
      </c>
      <c r="D74" s="292" t="s">
        <v>196</v>
      </c>
      <c r="E74" s="44" t="s">
        <v>16</v>
      </c>
      <c r="F74" s="245"/>
      <c r="G74" s="246"/>
      <c r="H74" s="265"/>
    </row>
    <row r="75">
      <c r="A75" s="290" t="s">
        <v>203</v>
      </c>
      <c r="B75" s="275"/>
      <c r="C75" s="318" t="s">
        <v>201</v>
      </c>
      <c r="D75" s="311" t="s">
        <v>796</v>
      </c>
      <c r="E75" s="62" t="s">
        <v>12</v>
      </c>
      <c r="F75" s="208" t="s">
        <v>797</v>
      </c>
      <c r="G75" s="39" t="s">
        <v>798</v>
      </c>
      <c r="H75" s="46"/>
    </row>
    <row r="76">
      <c r="A76" s="297" t="s">
        <v>799</v>
      </c>
      <c r="B76" s="253" t="s">
        <v>429</v>
      </c>
      <c r="C76" s="319" t="s">
        <v>800</v>
      </c>
      <c r="D76" s="320" t="s">
        <v>754</v>
      </c>
      <c r="E76" s="44" t="s">
        <v>16</v>
      </c>
      <c r="F76" s="260" t="s">
        <v>755</v>
      </c>
      <c r="G76" s="321" t="s">
        <v>756</v>
      </c>
    </row>
    <row r="77">
      <c r="A77" s="312" t="s">
        <v>801</v>
      </c>
      <c r="B77" s="237" t="s">
        <v>415</v>
      </c>
      <c r="C77" s="206" t="s">
        <v>802</v>
      </c>
      <c r="D77" s="78" t="s">
        <v>595</v>
      </c>
      <c r="E77" s="62"/>
      <c r="F77" s="245"/>
      <c r="G77" s="246"/>
    </row>
    <row r="78">
      <c r="A78" s="322" t="s">
        <v>215</v>
      </c>
      <c r="B78" s="257" t="s">
        <v>135</v>
      </c>
      <c r="C78" s="323" t="s">
        <v>216</v>
      </c>
      <c r="D78" s="324" t="s">
        <v>217</v>
      </c>
      <c r="E78" s="44" t="s">
        <v>16</v>
      </c>
      <c r="F78" s="245"/>
      <c r="G78" s="246"/>
      <c r="H78" s="265"/>
    </row>
    <row r="79">
      <c r="A79" s="300" t="s">
        <v>660</v>
      </c>
      <c r="B79" s="257" t="s">
        <v>43</v>
      </c>
      <c r="C79" s="325" t="s">
        <v>661</v>
      </c>
      <c r="D79" s="302">
        <v>2.046748E7</v>
      </c>
      <c r="E79" s="44" t="s">
        <v>16</v>
      </c>
      <c r="F79" s="245"/>
      <c r="G79" s="246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</row>
    <row r="80">
      <c r="A80" s="296" t="s">
        <v>803</v>
      </c>
      <c r="B80" s="244" t="s">
        <v>708</v>
      </c>
      <c r="C80" s="219" t="s">
        <v>804</v>
      </c>
      <c r="D80" s="220" t="s">
        <v>152</v>
      </c>
      <c r="E80" s="44" t="s">
        <v>16</v>
      </c>
      <c r="F80" s="245"/>
      <c r="G80" s="246"/>
      <c r="H80" s="194"/>
    </row>
    <row r="81">
      <c r="A81" s="312" t="s">
        <v>805</v>
      </c>
      <c r="B81" s="237" t="s">
        <v>167</v>
      </c>
      <c r="C81" s="206" t="s">
        <v>806</v>
      </c>
      <c r="D81" s="78" t="s">
        <v>595</v>
      </c>
      <c r="E81" s="62"/>
      <c r="F81" s="245"/>
      <c r="G81" s="246"/>
      <c r="H81" s="194"/>
    </row>
    <row r="82">
      <c r="A82" s="312" t="s">
        <v>807</v>
      </c>
      <c r="B82" s="237"/>
      <c r="C82" s="206" t="s">
        <v>808</v>
      </c>
      <c r="D82" s="78" t="s">
        <v>809</v>
      </c>
      <c r="E82" s="62"/>
      <c r="F82" s="245"/>
      <c r="G82" s="246"/>
      <c r="H82" s="194"/>
    </row>
    <row r="83">
      <c r="A83" s="326" t="s">
        <v>222</v>
      </c>
      <c r="B83" s="41" t="s">
        <v>135</v>
      </c>
      <c r="C83" s="327" t="s">
        <v>223</v>
      </c>
      <c r="D83" s="328" t="s">
        <v>224</v>
      </c>
      <c r="E83" s="62" t="s">
        <v>16</v>
      </c>
      <c r="F83" s="245"/>
      <c r="G83" s="246"/>
      <c r="H83" s="194"/>
    </row>
    <row r="84">
      <c r="A84" s="296" t="s">
        <v>301</v>
      </c>
      <c r="B84" s="244" t="s">
        <v>70</v>
      </c>
      <c r="C84" s="219" t="s">
        <v>302</v>
      </c>
      <c r="D84" s="220" t="s">
        <v>152</v>
      </c>
      <c r="E84" s="44" t="s">
        <v>16</v>
      </c>
      <c r="F84" s="245"/>
      <c r="G84" s="246"/>
      <c r="H84" s="194"/>
    </row>
    <row r="85">
      <c r="A85" s="296" t="s">
        <v>313</v>
      </c>
      <c r="B85" s="244" t="s">
        <v>70</v>
      </c>
      <c r="C85" s="219" t="s">
        <v>314</v>
      </c>
      <c r="D85" s="220" t="s">
        <v>152</v>
      </c>
      <c r="E85" s="44" t="s">
        <v>16</v>
      </c>
      <c r="F85" s="245"/>
      <c r="G85" s="246"/>
      <c r="H85" s="194"/>
    </row>
    <row r="86">
      <c r="A86" s="290" t="s">
        <v>225</v>
      </c>
      <c r="B86" s="262" t="s">
        <v>53</v>
      </c>
      <c r="C86" s="291" t="s">
        <v>226</v>
      </c>
      <c r="D86" s="292" t="s">
        <v>227</v>
      </c>
      <c r="E86" s="62" t="s">
        <v>16</v>
      </c>
      <c r="F86" s="245"/>
      <c r="G86" s="246"/>
      <c r="H86" s="230"/>
    </row>
    <row r="87">
      <c r="A87" s="312" t="s">
        <v>810</v>
      </c>
      <c r="B87" s="237" t="s">
        <v>674</v>
      </c>
      <c r="C87" s="206" t="s">
        <v>811</v>
      </c>
      <c r="D87" s="78" t="s">
        <v>595</v>
      </c>
      <c r="E87" s="62" t="s">
        <v>16</v>
      </c>
      <c r="F87" s="245"/>
      <c r="G87" s="248" t="s">
        <v>676</v>
      </c>
      <c r="H87" s="194"/>
    </row>
    <row r="88">
      <c r="A88" s="296" t="s">
        <v>812</v>
      </c>
      <c r="B88" s="244" t="s">
        <v>668</v>
      </c>
      <c r="C88" s="219" t="s">
        <v>813</v>
      </c>
      <c r="D88" s="220" t="s">
        <v>814</v>
      </c>
      <c r="E88" s="44" t="s">
        <v>16</v>
      </c>
      <c r="F88" s="245"/>
      <c r="G88" s="246"/>
    </row>
    <row r="89">
      <c r="A89" s="290" t="s">
        <v>234</v>
      </c>
      <c r="B89" s="275" t="s">
        <v>53</v>
      </c>
      <c r="C89" s="291" t="s">
        <v>235</v>
      </c>
      <c r="D89" s="292" t="s">
        <v>236</v>
      </c>
      <c r="E89" s="44" t="s">
        <v>16</v>
      </c>
      <c r="F89" s="245"/>
      <c r="G89" s="246"/>
      <c r="H89" s="230"/>
    </row>
    <row r="90">
      <c r="A90" s="247" t="s">
        <v>815</v>
      </c>
      <c r="B90" s="244" t="s">
        <v>135</v>
      </c>
      <c r="C90" s="109" t="s">
        <v>816</v>
      </c>
      <c r="D90" s="110" t="s">
        <v>817</v>
      </c>
      <c r="E90" s="62" t="s">
        <v>12</v>
      </c>
      <c r="F90" s="245"/>
      <c r="G90" s="246"/>
      <c r="H90" s="46" t="s">
        <v>818</v>
      </c>
    </row>
    <row r="91">
      <c r="A91" s="296"/>
      <c r="B91" s="99"/>
      <c r="C91" s="219"/>
      <c r="D91" s="220"/>
      <c r="E91" s="62"/>
      <c r="F91" s="245"/>
      <c r="G91" s="246"/>
    </row>
    <row r="92">
      <c r="A92" s="329"/>
      <c r="B92" s="237"/>
      <c r="C92" s="68"/>
      <c r="D92" s="78"/>
      <c r="E92" s="62"/>
      <c r="F92" s="245"/>
      <c r="G92" s="246"/>
    </row>
    <row r="93">
      <c r="A93" s="329"/>
      <c r="B93" s="237"/>
      <c r="C93" s="68"/>
      <c r="D93" s="69"/>
      <c r="E93" s="62"/>
      <c r="F93" s="245"/>
      <c r="G93" s="246"/>
    </row>
    <row r="94">
      <c r="A94" s="329"/>
      <c r="B94" s="237"/>
      <c r="C94" s="68"/>
      <c r="D94" s="69"/>
      <c r="E94" s="62"/>
      <c r="F94" s="245"/>
      <c r="G94" s="246"/>
    </row>
    <row r="95">
      <c r="A95" s="329"/>
      <c r="B95" s="237"/>
      <c r="C95" s="68"/>
      <c r="D95" s="69"/>
      <c r="E95" s="62"/>
      <c r="F95" s="245"/>
      <c r="G95" s="246"/>
    </row>
    <row r="96">
      <c r="A96" s="329"/>
      <c r="B96" s="237"/>
      <c r="C96" s="68"/>
      <c r="D96" s="69"/>
      <c r="E96" s="62"/>
      <c r="F96" s="245"/>
      <c r="G96" s="24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25.5"/>
    <col customWidth="1" min="4" max="4" width="12.5"/>
    <col customWidth="1" min="6" max="6" width="21.75"/>
    <col customWidth="1" min="7" max="7" width="8.75"/>
    <col customWidth="1" min="8" max="8" width="23.38"/>
  </cols>
  <sheetData>
    <row r="1" ht="25.5" customHeight="1">
      <c r="A1" s="330" t="s">
        <v>473</v>
      </c>
      <c r="B1" s="81" t="s">
        <v>290</v>
      </c>
      <c r="C1" s="82" t="s">
        <v>2</v>
      </c>
      <c r="D1" s="83"/>
      <c r="E1" s="84" t="s">
        <v>3</v>
      </c>
      <c r="F1" s="85" t="s">
        <v>242</v>
      </c>
      <c r="G1" s="86" t="s">
        <v>291</v>
      </c>
      <c r="H1" s="32" t="s">
        <v>243</v>
      </c>
    </row>
    <row r="2">
      <c r="A2" s="75" t="s">
        <v>70</v>
      </c>
      <c r="B2" s="76" t="s">
        <v>673</v>
      </c>
      <c r="C2" s="206" t="s">
        <v>675</v>
      </c>
      <c r="D2" s="194"/>
      <c r="E2" s="78" t="s">
        <v>595</v>
      </c>
      <c r="F2" s="73"/>
      <c r="G2" s="72">
        <v>0.0</v>
      </c>
      <c r="H2" s="39" t="s">
        <v>819</v>
      </c>
      <c r="J2" s="46" t="s">
        <v>674</v>
      </c>
    </row>
    <row r="3">
      <c r="A3" s="75" t="s">
        <v>70</v>
      </c>
      <c r="B3" s="76" t="s">
        <v>677</v>
      </c>
      <c r="C3" s="206" t="s">
        <v>678</v>
      </c>
      <c r="D3" s="194"/>
      <c r="E3" s="78" t="s">
        <v>595</v>
      </c>
      <c r="F3" s="73" t="s">
        <v>820</v>
      </c>
      <c r="G3" s="72">
        <v>0.0</v>
      </c>
      <c r="H3" s="39" t="s">
        <v>821</v>
      </c>
      <c r="J3" s="46" t="s">
        <v>674</v>
      </c>
    </row>
    <row r="4">
      <c r="A4" s="75" t="s">
        <v>47</v>
      </c>
      <c r="B4" s="76" t="s">
        <v>682</v>
      </c>
      <c r="C4" s="206" t="s">
        <v>683</v>
      </c>
      <c r="D4" s="194"/>
      <c r="E4" s="78" t="s">
        <v>595</v>
      </c>
      <c r="F4" s="73" t="s">
        <v>822</v>
      </c>
      <c r="G4" s="72">
        <v>12.0</v>
      </c>
      <c r="H4" s="39" t="s">
        <v>823</v>
      </c>
      <c r="I4" s="46"/>
      <c r="J4" s="46" t="s">
        <v>824</v>
      </c>
    </row>
    <row r="5">
      <c r="A5" s="75" t="s">
        <v>47</v>
      </c>
      <c r="B5" s="76" t="s">
        <v>684</v>
      </c>
      <c r="C5" s="206" t="s">
        <v>685</v>
      </c>
      <c r="D5" s="194"/>
      <c r="E5" s="78" t="s">
        <v>595</v>
      </c>
      <c r="F5" s="73" t="s">
        <v>481</v>
      </c>
      <c r="G5" s="72">
        <v>12.0</v>
      </c>
      <c r="H5" s="39" t="s">
        <v>825</v>
      </c>
      <c r="I5" s="46"/>
      <c r="J5" s="46" t="s">
        <v>824</v>
      </c>
    </row>
    <row r="6">
      <c r="A6" s="75" t="s">
        <v>70</v>
      </c>
      <c r="B6" s="76" t="s">
        <v>686</v>
      </c>
      <c r="C6" s="206" t="s">
        <v>687</v>
      </c>
      <c r="D6" s="194"/>
      <c r="E6" s="78" t="s">
        <v>595</v>
      </c>
      <c r="F6" s="73"/>
      <c r="G6" s="72">
        <v>0.0</v>
      </c>
      <c r="H6" s="39" t="s">
        <v>826</v>
      </c>
      <c r="J6" s="46" t="s">
        <v>674</v>
      </c>
    </row>
    <row r="7">
      <c r="A7" s="75" t="s">
        <v>22</v>
      </c>
      <c r="B7" s="76" t="s">
        <v>688</v>
      </c>
      <c r="C7" s="206" t="s">
        <v>827</v>
      </c>
      <c r="D7" s="194"/>
      <c r="E7" s="78" t="s">
        <v>82</v>
      </c>
      <c r="F7" s="73" t="s">
        <v>828</v>
      </c>
      <c r="G7" s="72">
        <v>15.0</v>
      </c>
      <c r="H7" s="74"/>
      <c r="J7" s="46" t="s">
        <v>674</v>
      </c>
    </row>
    <row r="8">
      <c r="A8" s="75" t="s">
        <v>47</v>
      </c>
      <c r="B8" s="76" t="s">
        <v>716</v>
      </c>
      <c r="C8" s="206" t="s">
        <v>717</v>
      </c>
      <c r="D8" s="194"/>
      <c r="E8" s="78" t="s">
        <v>595</v>
      </c>
      <c r="F8" s="73"/>
      <c r="G8" s="72">
        <v>15.0</v>
      </c>
      <c r="H8" s="74"/>
      <c r="I8" s="46" t="s">
        <v>829</v>
      </c>
      <c r="J8" s="46" t="s">
        <v>167</v>
      </c>
    </row>
    <row r="9">
      <c r="A9" s="75" t="s">
        <v>22</v>
      </c>
      <c r="B9" s="76" t="s">
        <v>76</v>
      </c>
      <c r="C9" s="206" t="s">
        <v>78</v>
      </c>
      <c r="D9" s="194"/>
      <c r="E9" s="78" t="s">
        <v>79</v>
      </c>
      <c r="F9" s="73" t="s">
        <v>830</v>
      </c>
      <c r="G9" s="72">
        <v>15.0</v>
      </c>
      <c r="H9" s="74" t="s">
        <v>831</v>
      </c>
      <c r="J9" s="46" t="s">
        <v>674</v>
      </c>
    </row>
    <row r="10">
      <c r="A10" s="75" t="s">
        <v>70</v>
      </c>
      <c r="B10" s="76" t="s">
        <v>832</v>
      </c>
      <c r="C10" s="206" t="s">
        <v>833</v>
      </c>
      <c r="D10" s="194"/>
      <c r="E10" s="78" t="s">
        <v>595</v>
      </c>
      <c r="F10" s="73"/>
      <c r="G10" s="72">
        <v>8.0</v>
      </c>
      <c r="H10" s="39" t="s">
        <v>834</v>
      </c>
    </row>
    <row r="11">
      <c r="A11" s="75" t="s">
        <v>53</v>
      </c>
      <c r="B11" s="76" t="s">
        <v>525</v>
      </c>
      <c r="C11" s="206" t="s">
        <v>526</v>
      </c>
      <c r="D11" s="194"/>
      <c r="E11" s="78" t="s">
        <v>246</v>
      </c>
      <c r="F11" s="73" t="s">
        <v>527</v>
      </c>
      <c r="G11" s="72">
        <v>12.0</v>
      </c>
      <c r="H11" s="74"/>
      <c r="J11" s="46" t="s">
        <v>53</v>
      </c>
    </row>
    <row r="12">
      <c r="A12" s="75" t="s">
        <v>22</v>
      </c>
      <c r="B12" s="76" t="s">
        <v>731</v>
      </c>
      <c r="C12" s="206" t="s">
        <v>732</v>
      </c>
      <c r="D12" s="194"/>
      <c r="E12" s="220" t="s">
        <v>334</v>
      </c>
      <c r="F12" s="73" t="s">
        <v>835</v>
      </c>
      <c r="G12" s="72">
        <v>15.0</v>
      </c>
      <c r="H12" s="74"/>
      <c r="J12" s="46" t="s">
        <v>674</v>
      </c>
    </row>
    <row r="13">
      <c r="A13" s="75" t="s">
        <v>47</v>
      </c>
      <c r="B13" s="76" t="s">
        <v>733</v>
      </c>
      <c r="C13" s="206" t="s">
        <v>734</v>
      </c>
      <c r="D13" s="194"/>
      <c r="E13" s="78" t="s">
        <v>595</v>
      </c>
      <c r="F13" s="73" t="s">
        <v>481</v>
      </c>
      <c r="G13" s="72">
        <v>12.0</v>
      </c>
      <c r="H13" s="39" t="s">
        <v>836</v>
      </c>
      <c r="I13" s="46"/>
      <c r="J13" s="46" t="s">
        <v>824</v>
      </c>
    </row>
    <row r="14">
      <c r="A14" s="75" t="s">
        <v>70</v>
      </c>
      <c r="B14" s="76" t="s">
        <v>735</v>
      </c>
      <c r="C14" s="206" t="s">
        <v>736</v>
      </c>
      <c r="D14" s="194"/>
      <c r="E14" s="78" t="s">
        <v>595</v>
      </c>
      <c r="F14" s="73"/>
      <c r="G14" s="72">
        <v>0.0</v>
      </c>
      <c r="H14" s="39" t="s">
        <v>837</v>
      </c>
      <c r="J14" s="46" t="s">
        <v>674</v>
      </c>
    </row>
    <row r="15">
      <c r="A15" s="75" t="s">
        <v>47</v>
      </c>
      <c r="B15" s="76" t="s">
        <v>737</v>
      </c>
      <c r="C15" s="206" t="s">
        <v>738</v>
      </c>
      <c r="D15" s="194"/>
      <c r="E15" s="78" t="s">
        <v>595</v>
      </c>
      <c r="F15" s="73"/>
      <c r="G15" s="72">
        <v>12.0</v>
      </c>
      <c r="H15" s="39"/>
      <c r="I15" s="46"/>
      <c r="J15" s="46" t="s">
        <v>824</v>
      </c>
    </row>
    <row r="16">
      <c r="A16" s="75" t="s">
        <v>22</v>
      </c>
      <c r="B16" s="76" t="s">
        <v>115</v>
      </c>
      <c r="C16" s="221" t="s">
        <v>116</v>
      </c>
      <c r="D16" s="194"/>
      <c r="E16" s="78" t="s">
        <v>117</v>
      </c>
      <c r="F16" s="73"/>
      <c r="G16" s="72">
        <v>15.0</v>
      </c>
      <c r="H16" s="74" t="s">
        <v>838</v>
      </c>
      <c r="J16" s="46" t="s">
        <v>53</v>
      </c>
    </row>
    <row r="17">
      <c r="A17" s="75" t="s">
        <v>22</v>
      </c>
      <c r="B17" s="76" t="s">
        <v>546</v>
      </c>
      <c r="C17" s="77" t="s">
        <v>547</v>
      </c>
      <c r="D17" s="214"/>
      <c r="E17" s="78" t="s">
        <v>548</v>
      </c>
      <c r="F17" s="73" t="s">
        <v>481</v>
      </c>
      <c r="G17" s="72">
        <v>12.0</v>
      </c>
      <c r="H17" s="74" t="s">
        <v>839</v>
      </c>
      <c r="I17" s="46"/>
      <c r="J17" s="46" t="s">
        <v>53</v>
      </c>
    </row>
    <row r="18">
      <c r="A18" s="75" t="s">
        <v>70</v>
      </c>
      <c r="B18" s="76" t="s">
        <v>840</v>
      </c>
      <c r="C18" s="221" t="s">
        <v>551</v>
      </c>
      <c r="D18" s="194"/>
      <c r="E18" s="78" t="s">
        <v>552</v>
      </c>
      <c r="F18" s="73"/>
      <c r="G18" s="72">
        <v>15.0</v>
      </c>
      <c r="H18" s="74"/>
      <c r="J18" s="46" t="s">
        <v>53</v>
      </c>
    </row>
    <row r="19">
      <c r="A19" s="75" t="s">
        <v>22</v>
      </c>
      <c r="B19" s="76" t="s">
        <v>752</v>
      </c>
      <c r="C19" s="206" t="s">
        <v>753</v>
      </c>
      <c r="D19" s="194"/>
      <c r="E19" s="78" t="s">
        <v>595</v>
      </c>
      <c r="F19" s="73"/>
      <c r="G19" s="72">
        <v>15.0</v>
      </c>
      <c r="H19" s="74"/>
      <c r="J19" s="46"/>
    </row>
    <row r="20">
      <c r="A20" s="75" t="s">
        <v>70</v>
      </c>
      <c r="B20" s="205" t="s">
        <v>70</v>
      </c>
      <c r="C20" s="206" t="s">
        <v>553</v>
      </c>
      <c r="D20" s="194"/>
      <c r="E20" s="78" t="s">
        <v>554</v>
      </c>
      <c r="F20" s="73" t="s">
        <v>841</v>
      </c>
      <c r="G20" s="72">
        <v>15.0</v>
      </c>
      <c r="H20" s="74"/>
    </row>
    <row r="21">
      <c r="A21" s="75" t="s">
        <v>22</v>
      </c>
      <c r="B21" s="76" t="s">
        <v>134</v>
      </c>
      <c r="C21" s="206" t="s">
        <v>136</v>
      </c>
      <c r="D21" s="194"/>
      <c r="E21" s="78" t="s">
        <v>137</v>
      </c>
      <c r="F21" s="73" t="s">
        <v>842</v>
      </c>
      <c r="G21" s="72">
        <v>15.0</v>
      </c>
      <c r="H21" s="74"/>
      <c r="J21" s="46"/>
    </row>
    <row r="22">
      <c r="A22" s="75" t="s">
        <v>22</v>
      </c>
      <c r="B22" s="76" t="s">
        <v>150</v>
      </c>
      <c r="C22" s="206" t="s">
        <v>151</v>
      </c>
      <c r="D22" s="194"/>
      <c r="E22" s="78" t="s">
        <v>152</v>
      </c>
      <c r="F22" s="73" t="s">
        <v>478</v>
      </c>
      <c r="G22" s="72">
        <v>15.0</v>
      </c>
      <c r="H22" s="74" t="s">
        <v>843</v>
      </c>
      <c r="J22" s="46" t="s">
        <v>674</v>
      </c>
    </row>
    <row r="23">
      <c r="A23" s="75" t="s">
        <v>22</v>
      </c>
      <c r="B23" s="205" t="s">
        <v>156</v>
      </c>
      <c r="C23" s="221" t="s">
        <v>157</v>
      </c>
      <c r="D23" s="194"/>
      <c r="E23" s="78" t="s">
        <v>158</v>
      </c>
      <c r="F23" s="73" t="s">
        <v>844</v>
      </c>
      <c r="G23" s="72">
        <v>15.0</v>
      </c>
      <c r="H23" s="74"/>
    </row>
    <row r="24">
      <c r="A24" s="75" t="s">
        <v>70</v>
      </c>
      <c r="B24" s="76" t="s">
        <v>762</v>
      </c>
      <c r="C24" s="206" t="s">
        <v>763</v>
      </c>
      <c r="D24" s="194"/>
      <c r="E24" s="78" t="s">
        <v>595</v>
      </c>
      <c r="F24" s="73"/>
      <c r="G24" s="72">
        <v>0.0</v>
      </c>
      <c r="H24" s="39" t="s">
        <v>845</v>
      </c>
      <c r="J24" s="46" t="s">
        <v>674</v>
      </c>
    </row>
    <row r="25">
      <c r="A25" s="75" t="s">
        <v>22</v>
      </c>
      <c r="B25" s="205" t="s">
        <v>577</v>
      </c>
      <c r="C25" s="206" t="s">
        <v>578</v>
      </c>
      <c r="D25" s="194"/>
      <c r="E25" s="78" t="s">
        <v>579</v>
      </c>
      <c r="F25" s="73" t="s">
        <v>580</v>
      </c>
      <c r="G25" s="72">
        <v>15.0</v>
      </c>
      <c r="H25" s="74"/>
      <c r="J25" s="46" t="s">
        <v>846</v>
      </c>
    </row>
    <row r="26">
      <c r="A26" s="75" t="s">
        <v>47</v>
      </c>
      <c r="B26" s="76" t="s">
        <v>166</v>
      </c>
      <c r="C26" s="206" t="s">
        <v>847</v>
      </c>
      <c r="D26" s="194"/>
      <c r="E26" s="78" t="s">
        <v>595</v>
      </c>
      <c r="F26" s="73"/>
      <c r="G26" s="72">
        <v>15.0</v>
      </c>
      <c r="H26" s="74"/>
      <c r="J26" s="46" t="s">
        <v>47</v>
      </c>
    </row>
    <row r="27">
      <c r="A27" s="75" t="s">
        <v>70</v>
      </c>
      <c r="B27" s="76" t="s">
        <v>848</v>
      </c>
      <c r="C27" s="221" t="s">
        <v>849</v>
      </c>
      <c r="D27" s="194"/>
      <c r="E27" s="78" t="s">
        <v>595</v>
      </c>
      <c r="F27" s="73" t="s">
        <v>850</v>
      </c>
      <c r="G27" s="72">
        <v>0.0</v>
      </c>
      <c r="H27" s="331" t="s">
        <v>851</v>
      </c>
    </row>
    <row r="28">
      <c r="A28" s="75" t="s">
        <v>47</v>
      </c>
      <c r="B28" s="76" t="s">
        <v>779</v>
      </c>
      <c r="C28" s="206" t="s">
        <v>780</v>
      </c>
      <c r="D28" s="194"/>
      <c r="E28" s="78" t="s">
        <v>595</v>
      </c>
      <c r="F28" s="73"/>
      <c r="G28" s="72">
        <v>15.0</v>
      </c>
      <c r="H28" s="74"/>
      <c r="J28" s="46" t="s">
        <v>852</v>
      </c>
      <c r="K28" s="46"/>
    </row>
    <row r="29">
      <c r="A29" s="75" t="s">
        <v>70</v>
      </c>
      <c r="B29" s="76" t="s">
        <v>593</v>
      </c>
      <c r="C29" s="206" t="s">
        <v>594</v>
      </c>
      <c r="D29" s="194"/>
      <c r="E29" s="78" t="s">
        <v>595</v>
      </c>
      <c r="F29" s="73" t="s">
        <v>481</v>
      </c>
      <c r="G29" s="72">
        <v>12.0</v>
      </c>
      <c r="H29" s="39" t="s">
        <v>853</v>
      </c>
      <c r="I29" s="46" t="s">
        <v>829</v>
      </c>
      <c r="J29" s="46" t="s">
        <v>53</v>
      </c>
    </row>
    <row r="30">
      <c r="A30" s="75" t="s">
        <v>22</v>
      </c>
      <c r="B30" s="76" t="s">
        <v>188</v>
      </c>
      <c r="C30" s="206" t="s">
        <v>189</v>
      </c>
      <c r="D30" s="194"/>
      <c r="E30" s="78" t="s">
        <v>152</v>
      </c>
      <c r="F30" s="73" t="s">
        <v>854</v>
      </c>
      <c r="G30" s="72">
        <v>15.0</v>
      </c>
      <c r="H30" s="74" t="s">
        <v>855</v>
      </c>
      <c r="J30" s="46" t="s">
        <v>674</v>
      </c>
    </row>
    <row r="31">
      <c r="A31" s="75" t="s">
        <v>47</v>
      </c>
      <c r="B31" s="76" t="s">
        <v>788</v>
      </c>
      <c r="C31" s="206" t="s">
        <v>789</v>
      </c>
      <c r="D31" s="194"/>
      <c r="E31" s="78" t="s">
        <v>790</v>
      </c>
      <c r="F31" s="73" t="s">
        <v>481</v>
      </c>
      <c r="G31" s="72">
        <v>12.0</v>
      </c>
      <c r="H31" s="39" t="s">
        <v>856</v>
      </c>
      <c r="I31" s="46"/>
      <c r="J31" s="46" t="s">
        <v>824</v>
      </c>
    </row>
    <row r="32">
      <c r="A32" s="75" t="s">
        <v>70</v>
      </c>
      <c r="B32" s="76" t="s">
        <v>791</v>
      </c>
      <c r="C32" s="206" t="s">
        <v>792</v>
      </c>
      <c r="D32" s="194"/>
      <c r="E32" s="78" t="s">
        <v>595</v>
      </c>
      <c r="F32" s="73"/>
      <c r="G32" s="72">
        <v>0.0</v>
      </c>
      <c r="H32" s="39" t="s">
        <v>857</v>
      </c>
      <c r="J32" s="46" t="s">
        <v>674</v>
      </c>
    </row>
    <row r="33">
      <c r="A33" s="75" t="s">
        <v>70</v>
      </c>
      <c r="B33" s="76" t="s">
        <v>596</v>
      </c>
      <c r="C33" s="206" t="s">
        <v>597</v>
      </c>
      <c r="D33" s="194"/>
      <c r="E33" s="78" t="s">
        <v>598</v>
      </c>
      <c r="F33" s="73"/>
      <c r="G33" s="72">
        <v>12.0</v>
      </c>
      <c r="H33" s="39" t="s">
        <v>599</v>
      </c>
      <c r="I33" s="46"/>
      <c r="J33" s="46" t="s">
        <v>858</v>
      </c>
    </row>
    <row r="34">
      <c r="A34" s="75" t="s">
        <v>70</v>
      </c>
      <c r="B34" s="76" t="s">
        <v>603</v>
      </c>
      <c r="C34" s="206" t="s">
        <v>604</v>
      </c>
      <c r="D34" s="194"/>
      <c r="E34" s="78" t="s">
        <v>595</v>
      </c>
      <c r="F34" s="73" t="s">
        <v>481</v>
      </c>
      <c r="G34" s="216">
        <v>15.0</v>
      </c>
      <c r="H34" s="74"/>
      <c r="I34" s="46" t="s">
        <v>829</v>
      </c>
      <c r="J34" s="46" t="s">
        <v>53</v>
      </c>
    </row>
    <row r="35">
      <c r="A35" s="75" t="s">
        <v>22</v>
      </c>
      <c r="B35" s="76" t="s">
        <v>799</v>
      </c>
      <c r="C35" s="206" t="s">
        <v>800</v>
      </c>
      <c r="D35" s="194"/>
      <c r="E35" s="78" t="s">
        <v>595</v>
      </c>
      <c r="F35" s="73"/>
      <c r="G35" s="72">
        <v>15.0</v>
      </c>
      <c r="H35" s="74"/>
      <c r="J35" s="46" t="s">
        <v>135</v>
      </c>
    </row>
    <row r="36">
      <c r="A36" s="75" t="s">
        <v>22</v>
      </c>
      <c r="B36" s="76" t="s">
        <v>212</v>
      </c>
      <c r="C36" s="221" t="s">
        <v>213</v>
      </c>
      <c r="D36" s="194"/>
      <c r="E36" s="78" t="s">
        <v>152</v>
      </c>
      <c r="F36" s="73" t="s">
        <v>247</v>
      </c>
      <c r="G36" s="72">
        <v>15.0</v>
      </c>
      <c r="H36" s="74"/>
      <c r="J36" s="46" t="s">
        <v>859</v>
      </c>
    </row>
    <row r="37">
      <c r="A37" s="75" t="s">
        <v>47</v>
      </c>
      <c r="B37" s="76" t="s">
        <v>801</v>
      </c>
      <c r="C37" s="206" t="s">
        <v>802</v>
      </c>
      <c r="D37" s="228"/>
      <c r="E37" s="78" t="s">
        <v>595</v>
      </c>
      <c r="F37" s="73"/>
      <c r="G37" s="72">
        <v>12.0</v>
      </c>
      <c r="H37" s="39" t="s">
        <v>860</v>
      </c>
      <c r="I37" s="46"/>
      <c r="J37" s="46" t="s">
        <v>824</v>
      </c>
    </row>
    <row r="38">
      <c r="A38" s="75" t="s">
        <v>70</v>
      </c>
      <c r="B38" s="76" t="s">
        <v>613</v>
      </c>
      <c r="C38" s="206" t="s">
        <v>614</v>
      </c>
      <c r="D38" s="194"/>
      <c r="E38" s="78" t="s">
        <v>595</v>
      </c>
      <c r="F38" s="73" t="s">
        <v>615</v>
      </c>
      <c r="G38" s="216">
        <v>15.0</v>
      </c>
      <c r="H38" s="74"/>
      <c r="I38" s="46" t="s">
        <v>861</v>
      </c>
      <c r="J38" s="46" t="s">
        <v>53</v>
      </c>
    </row>
    <row r="39">
      <c r="A39" s="75" t="s">
        <v>47</v>
      </c>
      <c r="B39" s="76" t="s">
        <v>805</v>
      </c>
      <c r="C39" s="206" t="s">
        <v>806</v>
      </c>
      <c r="D39" s="194"/>
      <c r="E39" s="78" t="s">
        <v>595</v>
      </c>
      <c r="F39" s="73"/>
      <c r="G39" s="72">
        <v>15.0</v>
      </c>
      <c r="H39" s="74"/>
      <c r="I39" s="46" t="s">
        <v>829</v>
      </c>
      <c r="J39" s="46" t="s">
        <v>167</v>
      </c>
    </row>
    <row r="40">
      <c r="A40" s="75" t="s">
        <v>47</v>
      </c>
      <c r="B40" s="76" t="s">
        <v>807</v>
      </c>
      <c r="C40" s="206" t="s">
        <v>808</v>
      </c>
      <c r="D40" s="194"/>
      <c r="E40" s="78" t="s">
        <v>809</v>
      </c>
      <c r="F40" s="73"/>
      <c r="G40" s="216">
        <v>12.0</v>
      </c>
      <c r="H40" s="39" t="s">
        <v>862</v>
      </c>
      <c r="I40" s="46" t="s">
        <v>861</v>
      </c>
    </row>
    <row r="41">
      <c r="A41" s="75" t="s">
        <v>70</v>
      </c>
      <c r="B41" s="76" t="s">
        <v>810</v>
      </c>
      <c r="C41" s="206" t="s">
        <v>811</v>
      </c>
      <c r="D41" s="194"/>
      <c r="E41" s="78" t="s">
        <v>595</v>
      </c>
      <c r="F41" s="73" t="s">
        <v>863</v>
      </c>
      <c r="G41" s="72">
        <v>0.0</v>
      </c>
      <c r="H41" s="39" t="s">
        <v>864</v>
      </c>
      <c r="J41" s="46" t="s">
        <v>674</v>
      </c>
    </row>
    <row r="42">
      <c r="A42" s="75" t="s">
        <v>70</v>
      </c>
      <c r="B42" s="71" t="s">
        <v>639</v>
      </c>
      <c r="C42" s="77" t="s">
        <v>640</v>
      </c>
      <c r="D42" s="214"/>
      <c r="E42" s="78" t="s">
        <v>552</v>
      </c>
      <c r="F42" s="73" t="s">
        <v>641</v>
      </c>
      <c r="G42" s="72">
        <v>15.0</v>
      </c>
      <c r="H42" s="74"/>
      <c r="I42" s="46" t="s">
        <v>861</v>
      </c>
      <c r="J42" s="46" t="s">
        <v>53</v>
      </c>
    </row>
    <row r="43">
      <c r="A43" s="75"/>
      <c r="B43" s="76"/>
      <c r="C43" s="206"/>
      <c r="D43" s="194"/>
      <c r="E43" s="78"/>
      <c r="F43" s="73"/>
      <c r="G43" s="72"/>
      <c r="H43" s="331"/>
    </row>
    <row r="44">
      <c r="A44" s="75"/>
      <c r="B44" s="76"/>
      <c r="C44" s="206"/>
      <c r="D44" s="194"/>
      <c r="E44" s="78"/>
      <c r="F44" s="73"/>
      <c r="G44" s="72"/>
      <c r="H44" s="74"/>
    </row>
    <row r="45">
      <c r="A45" s="75"/>
      <c r="B45" s="76"/>
      <c r="C45" s="206"/>
      <c r="D45" s="194"/>
      <c r="E45" s="78"/>
      <c r="F45" s="73"/>
      <c r="G45" s="72"/>
      <c r="H45" s="74"/>
      <c r="J45" s="46"/>
    </row>
    <row r="52">
      <c r="A52" s="330" t="s">
        <v>473</v>
      </c>
      <c r="B52" s="81" t="s">
        <v>290</v>
      </c>
      <c r="C52" s="82" t="s">
        <v>2</v>
      </c>
      <c r="D52" s="83"/>
      <c r="E52" s="84" t="s">
        <v>3</v>
      </c>
      <c r="F52" s="85" t="s">
        <v>242</v>
      </c>
      <c r="G52" s="86" t="s">
        <v>291</v>
      </c>
      <c r="H52" s="32" t="s">
        <v>243</v>
      </c>
    </row>
    <row r="53">
      <c r="A53" s="75" t="s">
        <v>70</v>
      </c>
      <c r="B53" s="205" t="s">
        <v>70</v>
      </c>
      <c r="C53" s="206" t="s">
        <v>553</v>
      </c>
      <c r="D53" s="194"/>
      <c r="E53" s="78" t="s">
        <v>554</v>
      </c>
      <c r="F53" s="73" t="s">
        <v>841</v>
      </c>
      <c r="G53" s="72">
        <v>15.0</v>
      </c>
      <c r="H53" s="90"/>
      <c r="I53" s="46" t="s">
        <v>865</v>
      </c>
    </row>
    <row r="54">
      <c r="A54" s="75" t="s">
        <v>22</v>
      </c>
      <c r="B54" s="205" t="s">
        <v>156</v>
      </c>
      <c r="C54" s="221" t="s">
        <v>157</v>
      </c>
      <c r="D54" s="194"/>
      <c r="E54" s="78" t="s">
        <v>158</v>
      </c>
      <c r="F54" s="73" t="s">
        <v>844</v>
      </c>
      <c r="G54" s="72">
        <v>15.0</v>
      </c>
      <c r="H54" s="90" t="s">
        <v>866</v>
      </c>
      <c r="I54" s="46" t="s">
        <v>865</v>
      </c>
    </row>
    <row r="55">
      <c r="A55" s="75" t="s">
        <v>53</v>
      </c>
      <c r="B55" s="76" t="s">
        <v>525</v>
      </c>
      <c r="C55" s="206" t="s">
        <v>526</v>
      </c>
      <c r="D55" s="194"/>
      <c r="E55" s="78" t="s">
        <v>246</v>
      </c>
      <c r="F55" s="73" t="s">
        <v>527</v>
      </c>
      <c r="G55" s="72">
        <v>12.0</v>
      </c>
      <c r="H55" s="90"/>
    </row>
    <row r="56">
      <c r="A56" s="75"/>
      <c r="B56" s="76"/>
      <c r="C56" s="206"/>
      <c r="D56" s="194"/>
      <c r="E56" s="78"/>
      <c r="F56" s="73"/>
      <c r="G56" s="72">
        <v>15.0</v>
      </c>
      <c r="H56" s="90"/>
    </row>
    <row r="57">
      <c r="A57" s="75"/>
      <c r="B57" s="76"/>
      <c r="C57" s="206"/>
      <c r="D57" s="194"/>
      <c r="E57" s="78"/>
      <c r="F57" s="73"/>
      <c r="G57" s="72">
        <v>15.0</v>
      </c>
      <c r="H57" s="90"/>
    </row>
    <row r="58">
      <c r="A58" s="75" t="s">
        <v>47</v>
      </c>
      <c r="B58" s="76" t="s">
        <v>807</v>
      </c>
      <c r="C58" s="206" t="s">
        <v>808</v>
      </c>
      <c r="D58" s="194"/>
      <c r="E58" s="78" t="s">
        <v>809</v>
      </c>
      <c r="F58" s="73"/>
      <c r="G58" s="72">
        <v>15.0</v>
      </c>
      <c r="H58" s="74" t="s">
        <v>867</v>
      </c>
    </row>
    <row r="59">
      <c r="A59" s="75" t="s">
        <v>22</v>
      </c>
      <c r="B59" s="332" t="s">
        <v>587</v>
      </c>
      <c r="C59" s="333" t="s">
        <v>588</v>
      </c>
      <c r="D59" s="240"/>
      <c r="E59" s="334" t="s">
        <v>152</v>
      </c>
      <c r="F59" s="335" t="s">
        <v>868</v>
      </c>
      <c r="G59" s="72">
        <v>15.0</v>
      </c>
      <c r="H59" s="90"/>
    </row>
    <row r="60">
      <c r="A60" s="75" t="s">
        <v>22</v>
      </c>
      <c r="B60" s="332" t="s">
        <v>589</v>
      </c>
      <c r="C60" s="333" t="s">
        <v>590</v>
      </c>
      <c r="D60" s="240"/>
      <c r="E60" s="334" t="s">
        <v>579</v>
      </c>
      <c r="F60" s="335" t="s">
        <v>869</v>
      </c>
      <c r="G60" s="72">
        <v>15.0</v>
      </c>
      <c r="H60" s="74" t="s">
        <v>870</v>
      </c>
    </row>
    <row r="61">
      <c r="A61" s="75" t="s">
        <v>47</v>
      </c>
      <c r="B61" s="76" t="s">
        <v>166</v>
      </c>
      <c r="C61" s="206" t="s">
        <v>847</v>
      </c>
      <c r="D61" s="194"/>
      <c r="E61" s="78" t="s">
        <v>595</v>
      </c>
      <c r="F61" s="336"/>
      <c r="G61" s="72">
        <v>15.0</v>
      </c>
      <c r="H61" s="74" t="s">
        <v>772</v>
      </c>
    </row>
    <row r="62">
      <c r="A62" s="75" t="s">
        <v>47</v>
      </c>
      <c r="B62" s="76" t="s">
        <v>779</v>
      </c>
      <c r="C62" s="206" t="s">
        <v>780</v>
      </c>
      <c r="D62" s="194"/>
      <c r="E62" s="78" t="s">
        <v>595</v>
      </c>
      <c r="F62" s="73"/>
      <c r="G62" s="72">
        <v>15.0</v>
      </c>
      <c r="H62" s="74" t="s">
        <v>871</v>
      </c>
    </row>
    <row r="63">
      <c r="A63" s="75" t="s">
        <v>872</v>
      </c>
      <c r="B63" s="76" t="s">
        <v>873</v>
      </c>
      <c r="C63" s="206" t="s">
        <v>874</v>
      </c>
      <c r="D63" s="194"/>
      <c r="E63" s="78" t="s">
        <v>875</v>
      </c>
      <c r="F63" s="73" t="s">
        <v>876</v>
      </c>
      <c r="G63" s="72">
        <v>12.0</v>
      </c>
      <c r="H63" s="74" t="s">
        <v>877</v>
      </c>
    </row>
    <row r="64">
      <c r="A64" s="75" t="s">
        <v>47</v>
      </c>
      <c r="B64" s="76" t="s">
        <v>682</v>
      </c>
      <c r="C64" s="206" t="s">
        <v>683</v>
      </c>
      <c r="D64" s="194"/>
      <c r="E64" s="78" t="s">
        <v>595</v>
      </c>
      <c r="F64" s="73" t="s">
        <v>822</v>
      </c>
      <c r="G64" s="72">
        <v>12.0</v>
      </c>
      <c r="H64" s="74" t="s">
        <v>878</v>
      </c>
    </row>
    <row r="65">
      <c r="A65" s="75" t="s">
        <v>47</v>
      </c>
      <c r="B65" s="76" t="s">
        <v>684</v>
      </c>
      <c r="C65" s="206" t="s">
        <v>685</v>
      </c>
      <c r="D65" s="194"/>
      <c r="E65" s="78" t="s">
        <v>595</v>
      </c>
      <c r="F65" s="73" t="s">
        <v>481</v>
      </c>
      <c r="G65" s="72">
        <v>12.0</v>
      </c>
      <c r="H65" s="74" t="s">
        <v>879</v>
      </c>
    </row>
    <row r="66">
      <c r="A66" s="75" t="s">
        <v>47</v>
      </c>
      <c r="B66" s="76" t="s">
        <v>733</v>
      </c>
      <c r="C66" s="206" t="s">
        <v>734</v>
      </c>
      <c r="D66" s="194"/>
      <c r="E66" s="78" t="s">
        <v>595</v>
      </c>
      <c r="F66" s="73" t="s">
        <v>481</v>
      </c>
      <c r="G66" s="72">
        <v>12.0</v>
      </c>
      <c r="H66" s="90"/>
    </row>
    <row r="67">
      <c r="A67" s="75" t="s">
        <v>47</v>
      </c>
      <c r="B67" s="76" t="s">
        <v>788</v>
      </c>
      <c r="C67" s="206" t="s">
        <v>789</v>
      </c>
      <c r="D67" s="194"/>
      <c r="E67" s="78" t="s">
        <v>790</v>
      </c>
      <c r="F67" s="73" t="s">
        <v>481</v>
      </c>
      <c r="G67" s="72">
        <v>12.0</v>
      </c>
      <c r="H67" s="90"/>
    </row>
    <row r="68">
      <c r="A68" s="75" t="s">
        <v>70</v>
      </c>
      <c r="B68" s="76" t="s">
        <v>832</v>
      </c>
      <c r="C68" s="206" t="s">
        <v>833</v>
      </c>
      <c r="D68" s="194"/>
      <c r="E68" s="78" t="s">
        <v>595</v>
      </c>
      <c r="F68" s="73"/>
      <c r="G68" s="72">
        <v>8.0</v>
      </c>
      <c r="H68" s="74" t="s">
        <v>880</v>
      </c>
    </row>
    <row r="69">
      <c r="A69" s="75" t="s">
        <v>47</v>
      </c>
      <c r="B69" s="76" t="s">
        <v>805</v>
      </c>
      <c r="C69" s="206" t="s">
        <v>806</v>
      </c>
      <c r="D69" s="194"/>
      <c r="E69" s="78" t="s">
        <v>595</v>
      </c>
      <c r="F69" s="73"/>
      <c r="G69" s="72">
        <v>15.0</v>
      </c>
      <c r="H69" s="74" t="s">
        <v>303</v>
      </c>
    </row>
    <row r="70">
      <c r="A70" s="75" t="s">
        <v>47</v>
      </c>
      <c r="B70" s="205" t="s">
        <v>716</v>
      </c>
      <c r="C70" s="206" t="s">
        <v>717</v>
      </c>
      <c r="D70" s="194"/>
      <c r="E70" s="78" t="s">
        <v>595</v>
      </c>
      <c r="F70" s="73"/>
      <c r="G70" s="72">
        <v>15.0</v>
      </c>
      <c r="H70" s="74" t="s">
        <v>303</v>
      </c>
    </row>
    <row r="71">
      <c r="A71" s="75" t="s">
        <v>70</v>
      </c>
      <c r="B71" s="76" t="s">
        <v>613</v>
      </c>
      <c r="C71" s="206" t="s">
        <v>614</v>
      </c>
      <c r="D71" s="194"/>
      <c r="E71" s="78" t="s">
        <v>595</v>
      </c>
      <c r="F71" s="73" t="s">
        <v>881</v>
      </c>
      <c r="G71" s="72">
        <v>14.0</v>
      </c>
      <c r="H71" s="74" t="s">
        <v>882</v>
      </c>
    </row>
    <row r="72">
      <c r="A72" s="75" t="s">
        <v>70</v>
      </c>
      <c r="B72" s="76" t="s">
        <v>593</v>
      </c>
      <c r="C72" s="206" t="s">
        <v>594</v>
      </c>
      <c r="D72" s="194"/>
      <c r="E72" s="78" t="s">
        <v>595</v>
      </c>
      <c r="F72" s="73" t="s">
        <v>481</v>
      </c>
      <c r="G72" s="72">
        <v>12.0</v>
      </c>
      <c r="H72" s="74" t="s">
        <v>883</v>
      </c>
    </row>
    <row r="73">
      <c r="A73" s="75" t="s">
        <v>70</v>
      </c>
      <c r="B73" s="76" t="s">
        <v>603</v>
      </c>
      <c r="C73" s="206" t="s">
        <v>604</v>
      </c>
      <c r="D73" s="194"/>
      <c r="E73" s="78" t="s">
        <v>595</v>
      </c>
      <c r="F73" s="73" t="s">
        <v>481</v>
      </c>
      <c r="G73" s="72">
        <v>12.0</v>
      </c>
      <c r="H73" s="90" t="s">
        <v>884</v>
      </c>
    </row>
    <row r="74">
      <c r="A74" s="75" t="s">
        <v>70</v>
      </c>
      <c r="B74" s="76" t="s">
        <v>686</v>
      </c>
      <c r="C74" s="206" t="s">
        <v>687</v>
      </c>
      <c r="D74" s="194"/>
      <c r="E74" s="78" t="s">
        <v>595</v>
      </c>
      <c r="F74" s="73"/>
      <c r="G74" s="72">
        <v>0.0</v>
      </c>
      <c r="H74" s="90"/>
    </row>
    <row r="75">
      <c r="A75" s="75" t="s">
        <v>70</v>
      </c>
      <c r="B75" s="76" t="s">
        <v>673</v>
      </c>
      <c r="C75" s="206" t="s">
        <v>675</v>
      </c>
      <c r="D75" s="194"/>
      <c r="E75" s="78" t="s">
        <v>595</v>
      </c>
      <c r="F75" s="73"/>
      <c r="G75" s="72">
        <v>0.0</v>
      </c>
      <c r="H75" s="90"/>
    </row>
    <row r="76">
      <c r="A76" s="75" t="s">
        <v>70</v>
      </c>
      <c r="B76" s="76" t="s">
        <v>677</v>
      </c>
      <c r="C76" s="206" t="s">
        <v>678</v>
      </c>
      <c r="D76" s="194"/>
      <c r="E76" s="78" t="s">
        <v>595</v>
      </c>
      <c r="F76" s="73" t="s">
        <v>820</v>
      </c>
      <c r="G76" s="72">
        <v>0.0</v>
      </c>
      <c r="H76" s="74" t="s">
        <v>885</v>
      </c>
    </row>
    <row r="77">
      <c r="A77" s="75"/>
      <c r="B77" s="76"/>
      <c r="E77" s="78"/>
      <c r="F77" s="73"/>
      <c r="G77" s="72"/>
      <c r="H77" s="90"/>
    </row>
    <row r="78">
      <c r="A78" s="75"/>
      <c r="B78" s="76"/>
      <c r="E78" s="78"/>
      <c r="F78" s="73"/>
      <c r="G78" s="72"/>
      <c r="H78" s="90"/>
    </row>
    <row r="79">
      <c r="A79" s="75"/>
      <c r="B79" s="76"/>
      <c r="E79" s="78"/>
      <c r="F79" s="73"/>
      <c r="G79" s="72"/>
      <c r="H79" s="90"/>
    </row>
    <row r="80">
      <c r="A80" s="75" t="s">
        <v>70</v>
      </c>
      <c r="B80" s="76" t="s">
        <v>810</v>
      </c>
      <c r="C80" s="221" t="s">
        <v>116</v>
      </c>
      <c r="D80" s="194"/>
      <c r="E80" s="78" t="s">
        <v>595</v>
      </c>
      <c r="F80" s="73" t="s">
        <v>863</v>
      </c>
      <c r="G80" s="72">
        <v>0.0</v>
      </c>
      <c r="H80" s="90" t="s">
        <v>886</v>
      </c>
    </row>
    <row r="81">
      <c r="A81" s="75" t="s">
        <v>70</v>
      </c>
      <c r="B81" s="76" t="s">
        <v>596</v>
      </c>
      <c r="C81" s="206" t="s">
        <v>597</v>
      </c>
      <c r="D81" s="194"/>
      <c r="E81" s="78" t="s">
        <v>598</v>
      </c>
      <c r="F81" s="73"/>
      <c r="G81" s="72">
        <v>12.0</v>
      </c>
      <c r="H81" s="90"/>
    </row>
    <row r="82">
      <c r="A82" s="75" t="s">
        <v>22</v>
      </c>
      <c r="B82" s="76" t="s">
        <v>546</v>
      </c>
      <c r="C82" s="206" t="s">
        <v>547</v>
      </c>
      <c r="D82" s="194"/>
      <c r="E82" s="78" t="s">
        <v>548</v>
      </c>
      <c r="F82" s="73" t="s">
        <v>481</v>
      </c>
      <c r="G82" s="72">
        <v>12.0</v>
      </c>
      <c r="H82" s="90" t="s">
        <v>839</v>
      </c>
    </row>
    <row r="83">
      <c r="A83" s="75" t="s">
        <v>70</v>
      </c>
      <c r="B83" s="76" t="s">
        <v>848</v>
      </c>
      <c r="C83" s="221" t="s">
        <v>849</v>
      </c>
      <c r="D83" s="194"/>
      <c r="E83" s="78" t="s">
        <v>595</v>
      </c>
      <c r="F83" s="73" t="s">
        <v>850</v>
      </c>
      <c r="G83" s="72">
        <v>0.0</v>
      </c>
      <c r="H83" s="331" t="s">
        <v>851</v>
      </c>
    </row>
    <row r="84">
      <c r="A84" s="75" t="s">
        <v>22</v>
      </c>
      <c r="B84" s="76" t="s">
        <v>688</v>
      </c>
      <c r="C84" s="206" t="s">
        <v>827</v>
      </c>
      <c r="D84" s="194"/>
      <c r="E84" s="78" t="s">
        <v>82</v>
      </c>
      <c r="F84" s="73" t="s">
        <v>828</v>
      </c>
      <c r="G84" s="72">
        <v>15.0</v>
      </c>
      <c r="H84" s="74" t="s">
        <v>887</v>
      </c>
    </row>
    <row r="85">
      <c r="A85" s="75" t="s">
        <v>22</v>
      </c>
      <c r="B85" s="76" t="s">
        <v>731</v>
      </c>
      <c r="C85" s="206" t="s">
        <v>732</v>
      </c>
      <c r="D85" s="194"/>
      <c r="E85" s="78" t="s">
        <v>888</v>
      </c>
      <c r="F85" s="73" t="s">
        <v>835</v>
      </c>
      <c r="G85" s="72">
        <v>15.0</v>
      </c>
      <c r="H85" s="90"/>
      <c r="I85" s="46" t="s">
        <v>751</v>
      </c>
    </row>
    <row r="86">
      <c r="A86" s="75" t="s">
        <v>22</v>
      </c>
      <c r="B86" s="76" t="s">
        <v>134</v>
      </c>
      <c r="C86" s="206" t="s">
        <v>136</v>
      </c>
      <c r="D86" s="194"/>
      <c r="E86" s="78" t="s">
        <v>760</v>
      </c>
      <c r="F86" s="73" t="s">
        <v>842</v>
      </c>
      <c r="G86" s="72">
        <v>15.0</v>
      </c>
      <c r="H86" s="74" t="s">
        <v>889</v>
      </c>
      <c r="I86" s="46" t="s">
        <v>751</v>
      </c>
    </row>
    <row r="87">
      <c r="A87" s="75" t="s">
        <v>70</v>
      </c>
      <c r="B87" s="76" t="s">
        <v>840</v>
      </c>
      <c r="C87" s="337" t="s">
        <v>551</v>
      </c>
      <c r="D87" s="240"/>
      <c r="E87" s="78" t="s">
        <v>552</v>
      </c>
      <c r="F87" s="73"/>
      <c r="G87" s="72">
        <v>15.0</v>
      </c>
      <c r="H87" s="74" t="s">
        <v>890</v>
      </c>
    </row>
    <row r="88">
      <c r="A88" s="75" t="s">
        <v>70</v>
      </c>
      <c r="B88" s="76" t="s">
        <v>891</v>
      </c>
      <c r="C88" s="206" t="s">
        <v>640</v>
      </c>
      <c r="D88" s="194"/>
      <c r="E88" s="78" t="s">
        <v>552</v>
      </c>
      <c r="F88" s="73" t="s">
        <v>892</v>
      </c>
      <c r="G88" s="72">
        <v>15.0</v>
      </c>
      <c r="H88" s="74" t="s">
        <v>772</v>
      </c>
    </row>
    <row r="89">
      <c r="A89" s="75" t="s">
        <v>22</v>
      </c>
      <c r="B89" s="205" t="s">
        <v>893</v>
      </c>
      <c r="C89" s="206" t="s">
        <v>578</v>
      </c>
      <c r="D89" s="194"/>
      <c r="E89" s="78" t="s">
        <v>579</v>
      </c>
      <c r="F89" s="73" t="s">
        <v>580</v>
      </c>
      <c r="G89" s="72">
        <v>15.0</v>
      </c>
      <c r="H89" s="90"/>
    </row>
    <row r="90">
      <c r="A90" s="75" t="s">
        <v>894</v>
      </c>
      <c r="B90" s="205" t="s">
        <v>895</v>
      </c>
      <c r="C90" s="206" t="s">
        <v>896</v>
      </c>
      <c r="D90" s="194"/>
      <c r="E90" s="78" t="s">
        <v>897</v>
      </c>
      <c r="F90" s="73"/>
      <c r="G90" s="72">
        <v>12.0</v>
      </c>
      <c r="H90" s="90"/>
    </row>
    <row r="91">
      <c r="A91" s="75" t="s">
        <v>894</v>
      </c>
      <c r="B91" s="76" t="s">
        <v>898</v>
      </c>
      <c r="C91" s="206" t="s">
        <v>899</v>
      </c>
      <c r="D91" s="194"/>
      <c r="E91" s="78" t="s">
        <v>875</v>
      </c>
      <c r="F91" s="73"/>
      <c r="G91" s="72">
        <v>12.0</v>
      </c>
      <c r="H91" s="74" t="s">
        <v>900</v>
      </c>
    </row>
    <row r="92">
      <c r="A92" s="75" t="s">
        <v>22</v>
      </c>
      <c r="B92" s="76" t="s">
        <v>76</v>
      </c>
      <c r="C92" s="206" t="s">
        <v>78</v>
      </c>
      <c r="D92" s="194"/>
      <c r="E92" s="78" t="s">
        <v>79</v>
      </c>
      <c r="F92" s="73" t="s">
        <v>901</v>
      </c>
      <c r="G92" s="72">
        <v>15.0</v>
      </c>
      <c r="H92" s="192" t="s">
        <v>332</v>
      </c>
      <c r="I92" s="46" t="s">
        <v>751</v>
      </c>
    </row>
    <row r="93">
      <c r="A93" s="75" t="s">
        <v>22</v>
      </c>
      <c r="B93" s="76" t="s">
        <v>150</v>
      </c>
      <c r="C93" s="206" t="s">
        <v>151</v>
      </c>
      <c r="D93" s="194"/>
      <c r="E93" s="78" t="s">
        <v>152</v>
      </c>
      <c r="F93" s="73" t="s">
        <v>478</v>
      </c>
      <c r="G93" s="72">
        <v>15.0</v>
      </c>
      <c r="H93" s="74" t="s">
        <v>332</v>
      </c>
    </row>
    <row r="94">
      <c r="A94" s="75" t="s">
        <v>22</v>
      </c>
      <c r="B94" s="76" t="s">
        <v>188</v>
      </c>
      <c r="C94" s="206" t="s">
        <v>189</v>
      </c>
      <c r="D94" s="194"/>
      <c r="E94" s="78" t="s">
        <v>152</v>
      </c>
      <c r="F94" s="73" t="s">
        <v>854</v>
      </c>
      <c r="G94" s="72">
        <v>15.0</v>
      </c>
      <c r="H94" s="74" t="s">
        <v>332</v>
      </c>
    </row>
    <row r="95">
      <c r="A95" s="75" t="s">
        <v>22</v>
      </c>
      <c r="B95" s="205" t="s">
        <v>115</v>
      </c>
      <c r="C95" s="221" t="s">
        <v>116</v>
      </c>
      <c r="D95" s="194"/>
      <c r="E95" s="78" t="s">
        <v>117</v>
      </c>
      <c r="F95" s="73" t="s">
        <v>902</v>
      </c>
      <c r="G95" s="72">
        <v>15.0</v>
      </c>
      <c r="H95" s="90" t="s">
        <v>838</v>
      </c>
      <c r="I95" s="46" t="s">
        <v>751</v>
      </c>
    </row>
    <row r="96">
      <c r="A96" s="75" t="s">
        <v>22</v>
      </c>
      <c r="B96" s="76" t="s">
        <v>212</v>
      </c>
      <c r="C96" s="221" t="s">
        <v>213</v>
      </c>
      <c r="D96" s="194"/>
      <c r="E96" s="78" t="s">
        <v>152</v>
      </c>
      <c r="F96" s="73" t="s">
        <v>247</v>
      </c>
      <c r="G96" s="72">
        <v>15.0</v>
      </c>
      <c r="H96" s="90"/>
    </row>
    <row r="97">
      <c r="A97" s="75" t="s">
        <v>25</v>
      </c>
      <c r="B97" s="205" t="s">
        <v>313</v>
      </c>
      <c r="C97" s="206" t="s">
        <v>314</v>
      </c>
      <c r="D97" s="194"/>
      <c r="E97" s="78" t="s">
        <v>152</v>
      </c>
      <c r="F97" s="73" t="s">
        <v>903</v>
      </c>
      <c r="G97" s="72">
        <v>15.0</v>
      </c>
      <c r="H97" s="90"/>
      <c r="I97" s="46" t="s">
        <v>751</v>
      </c>
    </row>
    <row r="98">
      <c r="A98" s="75" t="s">
        <v>15</v>
      </c>
      <c r="B98" s="76" t="s">
        <v>8</v>
      </c>
      <c r="C98" s="337" t="s">
        <v>10</v>
      </c>
      <c r="D98" s="240"/>
      <c r="E98" s="338" t="s">
        <v>149</v>
      </c>
      <c r="F98" s="73" t="s">
        <v>904</v>
      </c>
      <c r="G98" s="72">
        <v>15.0</v>
      </c>
      <c r="H98" s="74"/>
    </row>
    <row r="99">
      <c r="A99" s="75"/>
      <c r="B99" s="205" t="s">
        <v>69</v>
      </c>
      <c r="C99" s="337" t="s">
        <v>71</v>
      </c>
      <c r="D99" s="240"/>
      <c r="E99" s="73" t="s">
        <v>72</v>
      </c>
      <c r="F99" s="339"/>
      <c r="G99" s="72"/>
      <c r="H99" s="90"/>
      <c r="I99" s="46" t="s">
        <v>751</v>
      </c>
    </row>
    <row r="100">
      <c r="A100" s="75" t="s">
        <v>905</v>
      </c>
      <c r="B100" s="205" t="s">
        <v>301</v>
      </c>
      <c r="C100" s="221" t="s">
        <v>302</v>
      </c>
      <c r="D100" s="194"/>
      <c r="E100" s="78" t="s">
        <v>152</v>
      </c>
      <c r="F100" s="73"/>
      <c r="G100" s="72"/>
      <c r="H100" s="90"/>
      <c r="I100" s="46" t="s">
        <v>751</v>
      </c>
    </row>
    <row r="101">
      <c r="B101" s="340" t="s">
        <v>200</v>
      </c>
      <c r="C101" s="341" t="s">
        <v>201</v>
      </c>
      <c r="D101" s="341" t="s">
        <v>202</v>
      </c>
      <c r="I101" s="46" t="s">
        <v>906</v>
      </c>
    </row>
    <row r="103">
      <c r="C103" s="342" t="s">
        <v>907</v>
      </c>
    </row>
  </sheetData>
  <mergeCells count="87">
    <mergeCell ref="C58:D58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8:D88"/>
    <mergeCell ref="C96:D96"/>
    <mergeCell ref="C97:D97"/>
    <mergeCell ref="C100:D100"/>
    <mergeCell ref="C89:D89"/>
    <mergeCell ref="C90:D90"/>
    <mergeCell ref="C91:D91"/>
    <mergeCell ref="C92:D92"/>
    <mergeCell ref="C93:D93"/>
    <mergeCell ref="C94:D94"/>
    <mergeCell ref="C95:D95"/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3:D43"/>
    <mergeCell ref="C44:D44"/>
    <mergeCell ref="C45:D45"/>
    <mergeCell ref="C52:D52"/>
    <mergeCell ref="C53:D53"/>
    <mergeCell ref="C54:D54"/>
    <mergeCell ref="C55:D55"/>
    <mergeCell ref="C56:D56"/>
    <mergeCell ref="C57:D5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25.88"/>
    <col customWidth="1" min="5" max="5" width="37.75"/>
    <col hidden="1" min="6" max="6" width="12.63"/>
    <col customWidth="1" min="7" max="7" width="26.25"/>
  </cols>
  <sheetData>
    <row r="1" ht="26.25" customHeight="1">
      <c r="A1" s="330" t="s">
        <v>473</v>
      </c>
      <c r="B1" s="81" t="s">
        <v>290</v>
      </c>
      <c r="C1" s="82" t="s">
        <v>2</v>
      </c>
      <c r="D1" s="84" t="s">
        <v>3</v>
      </c>
      <c r="E1" s="85" t="s">
        <v>242</v>
      </c>
      <c r="F1" s="86" t="s">
        <v>291</v>
      </c>
      <c r="G1" s="343" t="s">
        <v>908</v>
      </c>
    </row>
    <row r="2">
      <c r="A2" s="70" t="s">
        <v>25</v>
      </c>
      <c r="B2" s="303">
        <v>1404.0</v>
      </c>
      <c r="C2" s="109" t="s">
        <v>669</v>
      </c>
      <c r="D2" s="220" t="s">
        <v>670</v>
      </c>
      <c r="E2" s="208" t="s">
        <v>909</v>
      </c>
      <c r="F2" s="72"/>
      <c r="G2" s="39" t="s">
        <v>910</v>
      </c>
    </row>
    <row r="3">
      <c r="A3" s="70" t="s">
        <v>25</v>
      </c>
      <c r="B3" s="71" t="s">
        <v>671</v>
      </c>
      <c r="C3" s="109" t="s">
        <v>672</v>
      </c>
      <c r="D3" s="220" t="s">
        <v>152</v>
      </c>
      <c r="E3" s="208" t="s">
        <v>911</v>
      </c>
      <c r="F3" s="72"/>
      <c r="G3" s="39" t="s">
        <v>415</v>
      </c>
    </row>
    <row r="4">
      <c r="A4" s="70" t="s">
        <v>25</v>
      </c>
      <c r="B4" s="71" t="s">
        <v>679</v>
      </c>
      <c r="C4" s="109" t="s">
        <v>681</v>
      </c>
      <c r="D4" s="220" t="s">
        <v>36</v>
      </c>
      <c r="E4" s="208" t="s">
        <v>909</v>
      </c>
      <c r="F4" s="72"/>
      <c r="G4" s="39" t="s">
        <v>680</v>
      </c>
    </row>
    <row r="5">
      <c r="A5" s="70" t="s">
        <v>25</v>
      </c>
      <c r="B5" s="209" t="s">
        <v>691</v>
      </c>
      <c r="C5" s="109" t="s">
        <v>308</v>
      </c>
      <c r="D5" s="220" t="s">
        <v>155</v>
      </c>
      <c r="E5" s="208" t="s">
        <v>912</v>
      </c>
      <c r="F5" s="72"/>
      <c r="G5" s="39" t="s">
        <v>47</v>
      </c>
    </row>
    <row r="6">
      <c r="A6" s="70" t="s">
        <v>25</v>
      </c>
      <c r="B6" s="71" t="s">
        <v>692</v>
      </c>
      <c r="C6" s="109" t="s">
        <v>693</v>
      </c>
      <c r="D6" s="220" t="s">
        <v>152</v>
      </c>
      <c r="E6" s="208" t="s">
        <v>913</v>
      </c>
      <c r="F6" s="72"/>
      <c r="G6" s="39" t="s">
        <v>415</v>
      </c>
    </row>
    <row r="7">
      <c r="A7" s="70" t="s">
        <v>25</v>
      </c>
      <c r="B7" s="209" t="s">
        <v>24</v>
      </c>
      <c r="C7" s="109" t="s">
        <v>26</v>
      </c>
      <c r="D7" s="220" t="s">
        <v>27</v>
      </c>
      <c r="E7" s="208" t="s">
        <v>914</v>
      </c>
      <c r="F7" s="72"/>
      <c r="G7" s="74"/>
    </row>
    <row r="8">
      <c r="A8" s="70" t="s">
        <v>25</v>
      </c>
      <c r="B8" s="209" t="s">
        <v>915</v>
      </c>
      <c r="C8" s="109" t="s">
        <v>35</v>
      </c>
      <c r="D8" s="220" t="s">
        <v>36</v>
      </c>
      <c r="E8" s="208" t="s">
        <v>916</v>
      </c>
      <c r="F8" s="72"/>
      <c r="G8" s="74"/>
    </row>
    <row r="9">
      <c r="A9" s="70" t="s">
        <v>25</v>
      </c>
      <c r="B9" s="71" t="s">
        <v>917</v>
      </c>
      <c r="C9" s="109" t="s">
        <v>701</v>
      </c>
      <c r="D9" s="220" t="s">
        <v>152</v>
      </c>
      <c r="E9" s="208" t="s">
        <v>918</v>
      </c>
      <c r="F9" s="72"/>
      <c r="G9" s="39" t="s">
        <v>135</v>
      </c>
    </row>
    <row r="10">
      <c r="A10" s="70" t="s">
        <v>25</v>
      </c>
      <c r="B10" s="71" t="s">
        <v>506</v>
      </c>
      <c r="C10" s="109" t="s">
        <v>314</v>
      </c>
      <c r="D10" s="220" t="s">
        <v>152</v>
      </c>
      <c r="E10" s="208" t="s">
        <v>919</v>
      </c>
      <c r="F10" s="72"/>
      <c r="G10" s="39" t="s">
        <v>70</v>
      </c>
    </row>
    <row r="11">
      <c r="A11" s="70" t="s">
        <v>25</v>
      </c>
      <c r="B11" s="71" t="s">
        <v>508</v>
      </c>
      <c r="C11" s="109" t="s">
        <v>509</v>
      </c>
      <c r="D11" s="220" t="s">
        <v>152</v>
      </c>
      <c r="E11" s="208" t="s">
        <v>920</v>
      </c>
      <c r="F11" s="72"/>
      <c r="G11" s="39" t="s">
        <v>53</v>
      </c>
    </row>
    <row r="12">
      <c r="A12" s="70" t="s">
        <v>25</v>
      </c>
      <c r="B12" s="71" t="s">
        <v>703</v>
      </c>
      <c r="C12" s="109" t="s">
        <v>704</v>
      </c>
      <c r="D12" s="220" t="s">
        <v>152</v>
      </c>
      <c r="E12" s="208" t="s">
        <v>921</v>
      </c>
      <c r="F12" s="72"/>
      <c r="G12" s="74"/>
    </row>
    <row r="13">
      <c r="A13" s="70" t="s">
        <v>25</v>
      </c>
      <c r="B13" s="71" t="s">
        <v>707</v>
      </c>
      <c r="C13" s="109" t="s">
        <v>709</v>
      </c>
      <c r="D13" s="220" t="s">
        <v>710</v>
      </c>
      <c r="E13" s="208" t="s">
        <v>922</v>
      </c>
      <c r="F13" s="72"/>
      <c r="G13" s="39" t="s">
        <v>708</v>
      </c>
    </row>
    <row r="14">
      <c r="A14" s="70" t="s">
        <v>25</v>
      </c>
      <c r="B14" s="71" t="s">
        <v>718</v>
      </c>
      <c r="C14" s="109" t="s">
        <v>719</v>
      </c>
      <c r="D14" s="78"/>
      <c r="E14" s="73"/>
      <c r="F14" s="72"/>
      <c r="G14" s="74"/>
    </row>
    <row r="15">
      <c r="A15" s="70" t="s">
        <v>25</v>
      </c>
      <c r="B15" s="209" t="s">
        <v>724</v>
      </c>
      <c r="C15" s="109" t="s">
        <v>725</v>
      </c>
      <c r="D15" s="220" t="s">
        <v>726</v>
      </c>
      <c r="E15" s="208" t="s">
        <v>923</v>
      </c>
      <c r="F15" s="72"/>
      <c r="G15" s="39" t="s">
        <v>47</v>
      </c>
      <c r="H15" s="46">
        <v>50.0</v>
      </c>
    </row>
    <row r="16">
      <c r="A16" s="70" t="s">
        <v>25</v>
      </c>
      <c r="B16" s="71" t="s">
        <v>301</v>
      </c>
      <c r="C16" s="109" t="s">
        <v>302</v>
      </c>
      <c r="D16" s="220" t="s">
        <v>152</v>
      </c>
      <c r="E16" s="208" t="s">
        <v>924</v>
      </c>
      <c r="F16" s="216" t="s">
        <v>925</v>
      </c>
      <c r="G16" s="39" t="s">
        <v>53</v>
      </c>
    </row>
    <row r="17">
      <c r="A17" s="70" t="s">
        <v>25</v>
      </c>
      <c r="B17" s="71" t="s">
        <v>539</v>
      </c>
      <c r="C17" s="109" t="s">
        <v>540</v>
      </c>
      <c r="D17" s="220" t="s">
        <v>152</v>
      </c>
      <c r="E17" s="208" t="s">
        <v>926</v>
      </c>
      <c r="F17" s="216" t="s">
        <v>927</v>
      </c>
      <c r="G17" s="39" t="s">
        <v>53</v>
      </c>
    </row>
    <row r="18">
      <c r="A18" s="70" t="s">
        <v>25</v>
      </c>
      <c r="B18" s="71" t="s">
        <v>741</v>
      </c>
      <c r="C18" s="109" t="s">
        <v>742</v>
      </c>
      <c r="D18" s="220" t="s">
        <v>152</v>
      </c>
      <c r="E18" s="208" t="s">
        <v>928</v>
      </c>
      <c r="F18" s="72"/>
      <c r="G18" s="39" t="s">
        <v>47</v>
      </c>
    </row>
    <row r="19">
      <c r="A19" s="70" t="s">
        <v>25</v>
      </c>
      <c r="B19" s="71" t="s">
        <v>743</v>
      </c>
      <c r="C19" s="109" t="s">
        <v>744</v>
      </c>
      <c r="D19" s="220" t="s">
        <v>152</v>
      </c>
      <c r="E19" s="208" t="s">
        <v>929</v>
      </c>
      <c r="F19" s="72"/>
      <c r="G19" s="39" t="s">
        <v>47</v>
      </c>
    </row>
    <row r="20">
      <c r="A20" s="70" t="s">
        <v>25</v>
      </c>
      <c r="B20" s="71" t="s">
        <v>745</v>
      </c>
      <c r="C20" s="109" t="s">
        <v>746</v>
      </c>
      <c r="D20" s="220" t="s">
        <v>152</v>
      </c>
      <c r="E20" s="208" t="s">
        <v>868</v>
      </c>
      <c r="F20" s="72"/>
      <c r="G20" s="39" t="s">
        <v>47</v>
      </c>
    </row>
    <row r="21">
      <c r="A21" s="70" t="s">
        <v>25</v>
      </c>
      <c r="B21" s="71" t="s">
        <v>748</v>
      </c>
      <c r="C21" s="109" t="s">
        <v>749</v>
      </c>
      <c r="D21" s="220" t="s">
        <v>750</v>
      </c>
      <c r="E21" s="208" t="s">
        <v>930</v>
      </c>
      <c r="F21" s="72"/>
      <c r="G21" s="39" t="s">
        <v>680</v>
      </c>
    </row>
    <row r="22">
      <c r="A22" s="70" t="s">
        <v>25</v>
      </c>
      <c r="B22" s="71" t="s">
        <v>556</v>
      </c>
      <c r="C22" s="109" t="s">
        <v>557</v>
      </c>
      <c r="D22" s="220" t="s">
        <v>152</v>
      </c>
      <c r="E22" s="208" t="s">
        <v>931</v>
      </c>
      <c r="F22" s="216" t="s">
        <v>927</v>
      </c>
      <c r="G22" s="39" t="s">
        <v>53</v>
      </c>
    </row>
    <row r="23">
      <c r="A23" s="70" t="s">
        <v>25</v>
      </c>
      <c r="B23" s="209" t="s">
        <v>932</v>
      </c>
      <c r="C23" s="109" t="s">
        <v>157</v>
      </c>
      <c r="D23" s="220" t="s">
        <v>158</v>
      </c>
      <c r="E23" s="208" t="s">
        <v>933</v>
      </c>
      <c r="F23" s="72"/>
      <c r="G23" s="39"/>
    </row>
    <row r="24">
      <c r="A24" s="70" t="s">
        <v>25</v>
      </c>
      <c r="B24" s="71" t="s">
        <v>765</v>
      </c>
      <c r="C24" s="109" t="s">
        <v>766</v>
      </c>
      <c r="D24" s="220" t="s">
        <v>767</v>
      </c>
      <c r="E24" s="208" t="s">
        <v>934</v>
      </c>
      <c r="F24" s="72"/>
      <c r="G24" s="39" t="s">
        <v>708</v>
      </c>
    </row>
    <row r="25">
      <c r="A25" s="70" t="s">
        <v>25</v>
      </c>
      <c r="B25" s="71" t="s">
        <v>587</v>
      </c>
      <c r="C25" s="109" t="s">
        <v>588</v>
      </c>
      <c r="D25" s="220" t="s">
        <v>152</v>
      </c>
      <c r="E25" s="208" t="s">
        <v>868</v>
      </c>
      <c r="F25" s="72"/>
      <c r="G25" s="39" t="s">
        <v>70</v>
      </c>
    </row>
    <row r="26">
      <c r="A26" s="70" t="s">
        <v>25</v>
      </c>
      <c r="B26" s="71" t="s">
        <v>589</v>
      </c>
      <c r="C26" s="109" t="s">
        <v>590</v>
      </c>
      <c r="D26" s="220" t="s">
        <v>579</v>
      </c>
      <c r="E26" s="208" t="s">
        <v>869</v>
      </c>
      <c r="F26" s="72"/>
      <c r="G26" s="39" t="s">
        <v>70</v>
      </c>
    </row>
    <row r="27">
      <c r="A27" s="70" t="s">
        <v>25</v>
      </c>
      <c r="B27" s="71" t="s">
        <v>776</v>
      </c>
      <c r="C27" s="109" t="s">
        <v>778</v>
      </c>
      <c r="D27" s="220" t="s">
        <v>152</v>
      </c>
      <c r="E27" s="208" t="s">
        <v>935</v>
      </c>
      <c r="F27" s="72"/>
      <c r="G27" s="39" t="s">
        <v>777</v>
      </c>
    </row>
    <row r="28">
      <c r="A28" s="70" t="s">
        <v>25</v>
      </c>
      <c r="B28" s="71" t="s">
        <v>781</v>
      </c>
      <c r="C28" s="109" t="s">
        <v>783</v>
      </c>
      <c r="D28" s="220" t="s">
        <v>784</v>
      </c>
      <c r="E28" s="208" t="s">
        <v>936</v>
      </c>
      <c r="F28" s="72"/>
      <c r="G28" s="39" t="s">
        <v>937</v>
      </c>
    </row>
    <row r="29">
      <c r="A29" s="70" t="s">
        <v>25</v>
      </c>
      <c r="B29" s="71" t="s">
        <v>785</v>
      </c>
      <c r="C29" s="109" t="s">
        <v>786</v>
      </c>
      <c r="D29" s="220" t="s">
        <v>787</v>
      </c>
      <c r="E29" s="208" t="s">
        <v>938</v>
      </c>
      <c r="F29" s="72"/>
      <c r="G29" s="39" t="s">
        <v>937</v>
      </c>
      <c r="H29" s="46">
        <v>61.0</v>
      </c>
    </row>
    <row r="30">
      <c r="A30" s="70" t="s">
        <v>25</v>
      </c>
      <c r="B30" s="71" t="s">
        <v>188</v>
      </c>
      <c r="C30" s="109" t="s">
        <v>189</v>
      </c>
      <c r="D30" s="220" t="s">
        <v>152</v>
      </c>
      <c r="E30" s="208" t="s">
        <v>939</v>
      </c>
      <c r="F30" s="72"/>
      <c r="G30" s="39"/>
    </row>
    <row r="31">
      <c r="A31" s="70" t="s">
        <v>25</v>
      </c>
      <c r="B31" s="71" t="s">
        <v>793</v>
      </c>
      <c r="C31" s="109" t="s">
        <v>794</v>
      </c>
      <c r="D31" s="220" t="s">
        <v>152</v>
      </c>
      <c r="E31" s="208" t="s">
        <v>936</v>
      </c>
      <c r="F31" s="72"/>
      <c r="G31" s="39" t="s">
        <v>777</v>
      </c>
    </row>
    <row r="32">
      <c r="A32" s="70" t="s">
        <v>25</v>
      </c>
      <c r="B32" s="71" t="s">
        <v>194</v>
      </c>
      <c r="C32" s="109" t="s">
        <v>195</v>
      </c>
      <c r="D32" s="220" t="s">
        <v>196</v>
      </c>
      <c r="E32" s="208" t="s">
        <v>940</v>
      </c>
      <c r="F32" s="72"/>
      <c r="G32" s="39" t="s">
        <v>135</v>
      </c>
    </row>
    <row r="33">
      <c r="A33" s="70" t="s">
        <v>25</v>
      </c>
      <c r="B33" s="71" t="s">
        <v>803</v>
      </c>
      <c r="C33" s="109" t="s">
        <v>804</v>
      </c>
      <c r="D33" s="220" t="s">
        <v>152</v>
      </c>
      <c r="E33" s="208" t="s">
        <v>941</v>
      </c>
      <c r="F33" s="72"/>
      <c r="G33" s="39" t="s">
        <v>708</v>
      </c>
    </row>
    <row r="34">
      <c r="A34" s="70" t="s">
        <v>25</v>
      </c>
      <c r="B34" s="71" t="s">
        <v>812</v>
      </c>
      <c r="C34" s="109" t="s">
        <v>813</v>
      </c>
      <c r="D34" s="220" t="s">
        <v>814</v>
      </c>
      <c r="E34" s="208" t="s">
        <v>942</v>
      </c>
      <c r="F34" s="72"/>
      <c r="G34" s="39" t="s">
        <v>910</v>
      </c>
    </row>
    <row r="35">
      <c r="A35" s="70" t="s">
        <v>25</v>
      </c>
      <c r="B35" s="71" t="s">
        <v>815</v>
      </c>
      <c r="C35" s="109" t="s">
        <v>816</v>
      </c>
      <c r="D35" s="220" t="s">
        <v>817</v>
      </c>
      <c r="E35" s="208" t="s">
        <v>943</v>
      </c>
      <c r="F35" s="72"/>
      <c r="G35" s="39" t="s">
        <v>135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39"/>
      <c r="B1" s="344" t="s">
        <v>944</v>
      </c>
      <c r="E1" s="339"/>
      <c r="F1" s="339"/>
      <c r="G1" s="339"/>
    </row>
    <row r="2">
      <c r="A2" s="345"/>
      <c r="B2" s="345"/>
      <c r="C2" s="345"/>
      <c r="D2" s="346" t="s">
        <v>945</v>
      </c>
      <c r="E2" s="345"/>
      <c r="F2" s="345"/>
      <c r="G2" s="339"/>
      <c r="H2" s="46" t="s">
        <v>946</v>
      </c>
    </row>
    <row r="3">
      <c r="A3" s="347" t="s">
        <v>290</v>
      </c>
      <c r="B3" s="348" t="s">
        <v>2</v>
      </c>
      <c r="C3" s="194"/>
      <c r="D3" s="349" t="s">
        <v>3</v>
      </c>
      <c r="E3" s="350" t="s">
        <v>242</v>
      </c>
      <c r="F3" s="351" t="s">
        <v>947</v>
      </c>
      <c r="G3" s="339"/>
    </row>
    <row r="4">
      <c r="A4" s="352" t="s">
        <v>563</v>
      </c>
      <c r="B4" s="353" t="s">
        <v>564</v>
      </c>
      <c r="C4" s="194"/>
      <c r="D4" s="354" t="s">
        <v>565</v>
      </c>
      <c r="E4" s="355" t="s">
        <v>948</v>
      </c>
      <c r="F4" s="356">
        <v>15.0</v>
      </c>
      <c r="G4" s="357"/>
    </row>
    <row r="5">
      <c r="A5" s="352" t="s">
        <v>949</v>
      </c>
      <c r="B5" s="353" t="s">
        <v>950</v>
      </c>
      <c r="C5" s="194"/>
      <c r="D5" s="358" t="s">
        <v>951</v>
      </c>
      <c r="E5" s="355" t="s">
        <v>481</v>
      </c>
      <c r="F5" s="359">
        <v>0.0</v>
      </c>
      <c r="G5" s="357"/>
    </row>
    <row r="6">
      <c r="A6" s="352" t="s">
        <v>952</v>
      </c>
      <c r="B6" s="353" t="s">
        <v>953</v>
      </c>
      <c r="C6" s="194"/>
      <c r="D6" s="358" t="s">
        <v>951</v>
      </c>
      <c r="E6" s="355"/>
      <c r="F6" s="356">
        <v>0.0</v>
      </c>
      <c r="G6" s="357"/>
    </row>
    <row r="7">
      <c r="A7" s="352" t="s">
        <v>954</v>
      </c>
      <c r="B7" s="353" t="s">
        <v>955</v>
      </c>
      <c r="C7" s="194"/>
      <c r="D7" s="358" t="s">
        <v>951</v>
      </c>
      <c r="E7" s="355"/>
      <c r="F7" s="356">
        <v>13.0</v>
      </c>
      <c r="G7" s="357" t="s">
        <v>956</v>
      </c>
    </row>
    <row r="8">
      <c r="A8" s="352" t="s">
        <v>957</v>
      </c>
      <c r="B8" s="353" t="s">
        <v>958</v>
      </c>
      <c r="C8" s="194"/>
      <c r="D8" s="358" t="s">
        <v>951</v>
      </c>
      <c r="E8" s="355"/>
      <c r="F8" s="359">
        <v>9.0</v>
      </c>
      <c r="G8" s="357" t="s">
        <v>690</v>
      </c>
    </row>
    <row r="9">
      <c r="A9" s="352" t="s">
        <v>959</v>
      </c>
      <c r="B9" s="353" t="s">
        <v>960</v>
      </c>
      <c r="C9" s="194"/>
      <c r="D9" s="358" t="s">
        <v>951</v>
      </c>
      <c r="E9" s="355"/>
      <c r="F9" s="356">
        <v>4.0</v>
      </c>
      <c r="G9" s="357" t="s">
        <v>961</v>
      </c>
    </row>
    <row r="10">
      <c r="A10" s="352" t="s">
        <v>962</v>
      </c>
      <c r="B10" s="353" t="s">
        <v>963</v>
      </c>
      <c r="C10" s="194"/>
      <c r="D10" s="358" t="s">
        <v>951</v>
      </c>
      <c r="E10" s="355"/>
      <c r="F10" s="359">
        <v>0.0</v>
      </c>
      <c r="G10" s="357"/>
    </row>
    <row r="11">
      <c r="A11" s="352" t="s">
        <v>964</v>
      </c>
      <c r="B11" s="353" t="s">
        <v>965</v>
      </c>
      <c r="C11" s="194"/>
      <c r="D11" s="358" t="s">
        <v>951</v>
      </c>
      <c r="E11" s="355"/>
      <c r="F11" s="359">
        <v>15.0</v>
      </c>
      <c r="G11" s="339"/>
    </row>
    <row r="12">
      <c r="A12" s="352" t="s">
        <v>966</v>
      </c>
      <c r="B12" s="353" t="s">
        <v>967</v>
      </c>
      <c r="C12" s="194"/>
      <c r="D12" s="358" t="s">
        <v>951</v>
      </c>
      <c r="E12" s="355"/>
      <c r="F12" s="359">
        <v>12.0</v>
      </c>
      <c r="G12" s="357" t="s">
        <v>968</v>
      </c>
      <c r="H12" s="188" t="s">
        <v>969</v>
      </c>
    </row>
    <row r="13">
      <c r="A13" s="352" t="s">
        <v>970</v>
      </c>
      <c r="B13" s="353" t="s">
        <v>971</v>
      </c>
      <c r="C13" s="194"/>
      <c r="D13" s="358" t="s">
        <v>951</v>
      </c>
      <c r="E13" s="355"/>
      <c r="F13" s="359">
        <v>15.0</v>
      </c>
      <c r="G13" s="339" t="s">
        <v>972</v>
      </c>
      <c r="J13" s="360"/>
    </row>
    <row r="14">
      <c r="A14" s="352" t="s">
        <v>973</v>
      </c>
      <c r="B14" s="353" t="s">
        <v>974</v>
      </c>
      <c r="C14" s="194"/>
      <c r="D14" s="361" t="s">
        <v>975</v>
      </c>
      <c r="E14" s="355"/>
      <c r="F14" s="359">
        <v>15.0</v>
      </c>
      <c r="G14" s="339" t="s">
        <v>976</v>
      </c>
      <c r="J14" s="362"/>
    </row>
    <row r="15">
      <c r="A15" s="352" t="s">
        <v>977</v>
      </c>
      <c r="B15" s="353" t="s">
        <v>978</v>
      </c>
      <c r="C15" s="194"/>
      <c r="D15" s="361">
        <v>8.5418541E7</v>
      </c>
      <c r="E15" s="355"/>
      <c r="F15" s="359">
        <v>15.0</v>
      </c>
      <c r="G15" s="339" t="s">
        <v>979</v>
      </c>
      <c r="J15" s="360"/>
    </row>
    <row r="16">
      <c r="J16" s="360"/>
    </row>
    <row r="17">
      <c r="J17" s="360"/>
    </row>
    <row r="18">
      <c r="J18" s="360"/>
    </row>
    <row r="19">
      <c r="J19" s="360"/>
    </row>
    <row r="20">
      <c r="C20" s="92"/>
      <c r="D20" s="92"/>
      <c r="E20" s="92"/>
      <c r="J20" s="360"/>
    </row>
    <row r="21">
      <c r="C21" s="92"/>
      <c r="D21" s="363"/>
      <c r="E21" s="363"/>
      <c r="J21" s="360"/>
    </row>
    <row r="22">
      <c r="C22" s="92"/>
      <c r="D22" s="360"/>
      <c r="E22" s="360"/>
      <c r="J22" s="360"/>
    </row>
    <row r="23">
      <c r="C23" s="92"/>
      <c r="D23" s="360"/>
      <c r="E23" s="360"/>
      <c r="J23" s="360"/>
    </row>
    <row r="24">
      <c r="C24" s="92"/>
      <c r="D24" s="360"/>
      <c r="E24" s="360"/>
      <c r="J24" s="360"/>
    </row>
    <row r="25">
      <c r="C25" s="92"/>
      <c r="D25" s="360"/>
      <c r="E25" s="360"/>
      <c r="J25" s="360"/>
    </row>
    <row r="26">
      <c r="C26" s="92"/>
      <c r="D26" s="360"/>
      <c r="E26" s="360"/>
    </row>
    <row r="27">
      <c r="C27" s="92"/>
      <c r="D27" s="360"/>
      <c r="E27" s="360"/>
    </row>
    <row r="28">
      <c r="C28" s="92"/>
      <c r="D28" s="360"/>
      <c r="E28" s="360"/>
    </row>
    <row r="29">
      <c r="C29" s="92"/>
      <c r="D29" s="360"/>
      <c r="E29" s="360"/>
    </row>
    <row r="30">
      <c r="C30" s="92"/>
      <c r="D30" s="360"/>
      <c r="E30" s="360"/>
    </row>
    <row r="31">
      <c r="C31" s="92"/>
      <c r="D31" s="360"/>
      <c r="E31" s="360"/>
    </row>
    <row r="32">
      <c r="C32" s="92"/>
      <c r="D32" s="360"/>
      <c r="E32" s="360"/>
    </row>
    <row r="33">
      <c r="C33" s="92"/>
      <c r="D33" s="360"/>
      <c r="E33" s="360"/>
    </row>
    <row r="34">
      <c r="C34" s="92"/>
      <c r="D34" s="92"/>
      <c r="E34" s="92"/>
    </row>
  </sheetData>
  <mergeCells count="14">
    <mergeCell ref="B9:C9"/>
    <mergeCell ref="B10:C10"/>
    <mergeCell ref="B11:C11"/>
    <mergeCell ref="B12:C12"/>
    <mergeCell ref="B13:C13"/>
    <mergeCell ref="B14:C14"/>
    <mergeCell ref="B15:C15"/>
    <mergeCell ref="B1:D1"/>
    <mergeCell ref="B3:C3"/>
    <mergeCell ref="B4:C4"/>
    <mergeCell ref="B5:C5"/>
    <mergeCell ref="B6:C6"/>
    <mergeCell ref="B7:C7"/>
    <mergeCell ref="B8:C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45.13"/>
    <col customWidth="1" min="3" max="3" width="22.5"/>
    <col customWidth="1" min="4" max="4" width="13.75"/>
    <col customWidth="1" min="5" max="13" width="22.5"/>
  </cols>
  <sheetData>
    <row r="1" ht="51.0" customHeight="1">
      <c r="A1" s="364" t="s">
        <v>326</v>
      </c>
      <c r="B1" s="364" t="s">
        <v>239</v>
      </c>
      <c r="C1" s="364" t="s">
        <v>240</v>
      </c>
      <c r="D1" s="364" t="s">
        <v>172</v>
      </c>
      <c r="E1" s="3"/>
      <c r="F1" s="3"/>
      <c r="G1" s="3"/>
      <c r="H1" s="3"/>
      <c r="I1" s="3"/>
      <c r="J1" s="3"/>
      <c r="K1" s="3"/>
      <c r="L1" s="3"/>
      <c r="M1" s="3"/>
    </row>
    <row r="2" ht="26.25" customHeight="1">
      <c r="A2" s="365"/>
      <c r="B2" s="365"/>
      <c r="C2" s="365"/>
      <c r="D2" s="365"/>
      <c r="E2" s="3"/>
      <c r="F2" s="3"/>
      <c r="G2" s="3"/>
      <c r="H2" s="3"/>
      <c r="I2" s="3"/>
      <c r="J2" s="3"/>
      <c r="K2" s="3"/>
      <c r="L2" s="3"/>
      <c r="M2" s="3"/>
    </row>
    <row r="3" ht="12.75" customHeight="1">
      <c r="A3" s="366" t="s">
        <v>204</v>
      </c>
      <c r="B3" s="367" t="s">
        <v>980</v>
      </c>
      <c r="C3" s="367" t="s">
        <v>206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ht="12.75" customHeight="1">
      <c r="A4" s="366" t="s">
        <v>63</v>
      </c>
      <c r="B4" s="367" t="s">
        <v>64</v>
      </c>
      <c r="C4" s="367" t="s">
        <v>49</v>
      </c>
      <c r="D4" s="3"/>
      <c r="E4" s="3"/>
      <c r="F4" s="3"/>
      <c r="G4" s="3"/>
      <c r="H4" s="3"/>
      <c r="I4" s="3"/>
      <c r="J4" s="3"/>
      <c r="K4" s="3"/>
      <c r="L4" s="3"/>
      <c r="M4" s="3"/>
    </row>
    <row r="5" ht="12.75" customHeight="1">
      <c r="A5" s="366" t="s">
        <v>315</v>
      </c>
      <c r="B5" s="367" t="s">
        <v>316</v>
      </c>
      <c r="C5" s="367" t="s">
        <v>317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ht="12.75" customHeight="1">
      <c r="A6" s="366" t="s">
        <v>323</v>
      </c>
      <c r="B6" s="367" t="s">
        <v>324</v>
      </c>
      <c r="C6" s="367" t="s">
        <v>221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ht="12.75" customHeight="1">
      <c r="A7" s="366" t="s">
        <v>981</v>
      </c>
      <c r="B7" s="367" t="s">
        <v>982</v>
      </c>
      <c r="C7" s="367" t="s">
        <v>49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ht="12.75" customHeight="1">
      <c r="A8" s="366" t="s">
        <v>983</v>
      </c>
      <c r="B8" s="368" t="s">
        <v>984</v>
      </c>
      <c r="C8" s="367" t="s">
        <v>221</v>
      </c>
      <c r="D8" s="3"/>
      <c r="E8" s="3"/>
      <c r="F8" s="3"/>
      <c r="G8" s="3"/>
      <c r="H8" s="3"/>
      <c r="I8" s="3"/>
      <c r="J8" s="3"/>
      <c r="K8" s="3"/>
      <c r="L8" s="3"/>
      <c r="M8" s="3"/>
    </row>
    <row r="9" ht="12.75" customHeight="1">
      <c r="A9" s="366" t="s">
        <v>985</v>
      </c>
      <c r="B9" s="369" t="s">
        <v>986</v>
      </c>
      <c r="C9" s="367" t="s">
        <v>221</v>
      </c>
      <c r="D9" s="3"/>
      <c r="E9" s="3"/>
      <c r="F9" s="3"/>
      <c r="G9" s="3"/>
      <c r="H9" s="3"/>
      <c r="I9" s="3"/>
      <c r="J9" s="3"/>
      <c r="K9" s="3"/>
      <c r="L9" s="3"/>
      <c r="M9" s="3"/>
    </row>
    <row r="10" ht="12.75" customHeight="1">
      <c r="A10" s="366" t="s">
        <v>987</v>
      </c>
      <c r="B10" s="369" t="s">
        <v>988</v>
      </c>
      <c r="C10" s="367" t="s">
        <v>221</v>
      </c>
      <c r="D10" s="3"/>
      <c r="E10" s="3"/>
      <c r="F10" s="3"/>
      <c r="G10" s="3"/>
      <c r="H10" s="3"/>
      <c r="I10" s="3"/>
      <c r="J10" s="3"/>
      <c r="K10" s="3"/>
      <c r="L10" s="3"/>
      <c r="M10" s="3"/>
    </row>
    <row r="11" ht="12.75" customHeight="1">
      <c r="A11" s="366" t="s">
        <v>989</v>
      </c>
      <c r="B11" s="369" t="s">
        <v>990</v>
      </c>
      <c r="C11" s="367" t="s">
        <v>221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2.75" customHeight="1">
      <c r="A12" s="366" t="s">
        <v>991</v>
      </c>
      <c r="B12" s="369" t="s">
        <v>992</v>
      </c>
      <c r="C12" s="367" t="s">
        <v>221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2.75" customHeight="1">
      <c r="A13" s="366" t="s">
        <v>993</v>
      </c>
      <c r="B13" s="369" t="s">
        <v>994</v>
      </c>
      <c r="C13" s="367" t="s">
        <v>221</v>
      </c>
      <c r="D13" s="370">
        <v>165561.0</v>
      </c>
      <c r="E13" s="3"/>
      <c r="F13" s="3"/>
      <c r="G13" s="3"/>
      <c r="H13" s="3"/>
      <c r="I13" s="3"/>
      <c r="J13" s="3"/>
      <c r="K13" s="3"/>
      <c r="L13" s="3"/>
      <c r="M13" s="3"/>
    </row>
    <row r="14" ht="12.75" customHeight="1">
      <c r="A14" s="366" t="s">
        <v>995</v>
      </c>
      <c r="B14" s="369" t="s">
        <v>996</v>
      </c>
      <c r="C14" s="367" t="s">
        <v>221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2.75" customHeight="1">
      <c r="A15" s="366" t="s">
        <v>997</v>
      </c>
      <c r="B15" s="369" t="s">
        <v>998</v>
      </c>
      <c r="C15" s="367" t="s">
        <v>999</v>
      </c>
      <c r="D15" s="367"/>
      <c r="E15" s="3"/>
      <c r="F15" s="3"/>
      <c r="G15" s="3"/>
      <c r="H15" s="3"/>
      <c r="I15" s="3"/>
      <c r="J15" s="3"/>
      <c r="K15" s="3"/>
      <c r="L15" s="3"/>
      <c r="M15" s="3"/>
    </row>
    <row r="16" ht="12.75" customHeight="1">
      <c r="A16" s="46" t="s">
        <v>1000</v>
      </c>
      <c r="B16" s="371" t="s">
        <v>1001</v>
      </c>
      <c r="C16" s="371" t="s">
        <v>1002</v>
      </c>
      <c r="D16" s="367" t="s">
        <v>1003</v>
      </c>
      <c r="E16" s="3"/>
      <c r="F16" s="3"/>
      <c r="G16" s="3"/>
      <c r="H16" s="3"/>
      <c r="I16" s="3"/>
      <c r="J16" s="3"/>
      <c r="K16" s="3"/>
      <c r="L16" s="3"/>
      <c r="M16" s="3"/>
    </row>
    <row r="17" ht="12.75" customHeight="1">
      <c r="A17" s="366" t="s">
        <v>1004</v>
      </c>
      <c r="B17" s="367" t="s">
        <v>1005</v>
      </c>
      <c r="C17" s="367" t="s">
        <v>1006</v>
      </c>
      <c r="D17" s="372"/>
      <c r="E17" s="3"/>
      <c r="F17" s="3"/>
      <c r="G17" s="3"/>
      <c r="H17" s="3"/>
      <c r="I17" s="3"/>
      <c r="J17" s="3"/>
      <c r="K17" s="3"/>
      <c r="L17" s="3"/>
      <c r="M17" s="3"/>
    </row>
    <row r="18" ht="12.75" customHeight="1">
      <c r="A18" s="366" t="s">
        <v>417</v>
      </c>
      <c r="B18" s="118" t="s">
        <v>418</v>
      </c>
      <c r="C18" s="367" t="s">
        <v>419</v>
      </c>
      <c r="D18" s="370">
        <v>99561.0</v>
      </c>
      <c r="E18" s="3"/>
      <c r="F18" s="3"/>
      <c r="G18" s="3"/>
      <c r="H18" s="3"/>
      <c r="I18" s="3"/>
      <c r="J18" s="3"/>
      <c r="K18" s="3"/>
      <c r="L18" s="3"/>
      <c r="M18" s="3"/>
    </row>
    <row r="19" ht="12.75" customHeight="1">
      <c r="A19" s="366" t="s">
        <v>1007</v>
      </c>
      <c r="B19" s="367" t="s">
        <v>1008</v>
      </c>
      <c r="C19" s="367" t="s">
        <v>221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2.75" customHeight="1">
      <c r="A20" s="366" t="s">
        <v>1009</v>
      </c>
      <c r="B20" s="367" t="s">
        <v>1010</v>
      </c>
      <c r="C20" s="367" t="s">
        <v>221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2.75" customHeight="1">
      <c r="A21" s="366" t="s">
        <v>1011</v>
      </c>
      <c r="B21" s="109" t="s">
        <v>308</v>
      </c>
      <c r="C21" s="220" t="s">
        <v>155</v>
      </c>
      <c r="D21" s="373" t="s">
        <v>1012</v>
      </c>
      <c r="E21" s="3"/>
      <c r="F21" s="3"/>
      <c r="G21" s="3"/>
      <c r="H21" s="3"/>
      <c r="I21" s="3"/>
      <c r="J21" s="3"/>
      <c r="K21" s="3"/>
      <c r="L21" s="3"/>
      <c r="M21" s="3"/>
    </row>
    <row r="22" ht="12.75" customHeight="1">
      <c r="A22" s="366" t="s">
        <v>700</v>
      </c>
      <c r="B22" s="109" t="s">
        <v>701</v>
      </c>
      <c r="C22" s="367" t="s">
        <v>152</v>
      </c>
      <c r="D22" s="372"/>
      <c r="E22" s="3"/>
      <c r="F22" s="3"/>
      <c r="G22" s="3"/>
      <c r="H22" s="3"/>
      <c r="I22" s="3"/>
      <c r="J22" s="3"/>
      <c r="K22" s="3"/>
      <c r="L22" s="3"/>
      <c r="M22" s="3"/>
    </row>
    <row r="23" ht="12.75" customHeight="1">
      <c r="A23" s="374" t="s">
        <v>1013</v>
      </c>
      <c r="B23" s="42" t="s">
        <v>197</v>
      </c>
      <c r="C23" s="48" t="s">
        <v>198</v>
      </c>
      <c r="D23" s="375"/>
      <c r="E23" s="367"/>
      <c r="F23" s="374"/>
      <c r="G23" s="374" t="s">
        <v>666</v>
      </c>
      <c r="H23" s="3"/>
      <c r="I23" s="3"/>
      <c r="J23" s="3"/>
      <c r="K23" s="3"/>
      <c r="L23" s="3"/>
      <c r="M23" s="3"/>
    </row>
    <row r="24" ht="12.75" customHeight="1">
      <c r="C24" s="374"/>
      <c r="D24" s="375" t="s">
        <v>667</v>
      </c>
      <c r="E24" s="367" t="s">
        <v>1014</v>
      </c>
      <c r="F24" s="3"/>
      <c r="G24" s="3"/>
      <c r="H24" s="3"/>
      <c r="I24" s="3"/>
      <c r="J24" s="3"/>
      <c r="K24" s="3"/>
      <c r="L24" s="3"/>
      <c r="M24" s="3"/>
    </row>
    <row r="25" ht="12.75" customHeight="1">
      <c r="A25" s="37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</hyperlinks>
  <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25.25"/>
  </cols>
  <sheetData>
    <row r="1">
      <c r="A1" s="377" t="s">
        <v>1015</v>
      </c>
      <c r="B1" s="339"/>
      <c r="C1" s="339"/>
      <c r="D1" s="339"/>
      <c r="E1" s="339"/>
      <c r="F1" s="339"/>
      <c r="G1" s="339"/>
      <c r="H1" s="339"/>
      <c r="I1" s="339"/>
      <c r="J1" s="339"/>
      <c r="K1" s="378" t="s">
        <v>1016</v>
      </c>
      <c r="L1" s="379"/>
      <c r="M1" s="379"/>
      <c r="N1" s="339"/>
    </row>
    <row r="2">
      <c r="A2" s="380" t="s">
        <v>122</v>
      </c>
      <c r="B2" s="380" t="s">
        <v>124</v>
      </c>
      <c r="C2" s="380" t="s">
        <v>125</v>
      </c>
      <c r="D2" s="339"/>
      <c r="E2" s="339"/>
      <c r="F2" s="381" t="s">
        <v>1017</v>
      </c>
      <c r="G2" s="382"/>
      <c r="H2" s="382"/>
      <c r="I2" s="339"/>
      <c r="J2" s="339"/>
      <c r="K2" s="383" t="s">
        <v>1018</v>
      </c>
      <c r="L2" s="383" t="s">
        <v>1019</v>
      </c>
      <c r="M2" s="383" t="s">
        <v>1020</v>
      </c>
      <c r="N2" s="339"/>
    </row>
    <row r="3">
      <c r="A3" s="339"/>
      <c r="B3" s="339"/>
      <c r="C3" s="339"/>
      <c r="D3" s="339"/>
      <c r="E3" s="339"/>
      <c r="F3" s="339" t="s">
        <v>381</v>
      </c>
      <c r="G3" s="339" t="s">
        <v>382</v>
      </c>
      <c r="H3" s="383" t="s">
        <v>383</v>
      </c>
      <c r="I3" s="384">
        <v>60.0</v>
      </c>
      <c r="J3" s="339"/>
      <c r="K3" s="385" t="s">
        <v>1021</v>
      </c>
      <c r="L3" s="385" t="s">
        <v>1022</v>
      </c>
      <c r="M3" s="385" t="s">
        <v>1023</v>
      </c>
      <c r="N3" s="383" t="s">
        <v>332</v>
      </c>
    </row>
    <row r="4">
      <c r="A4" s="386" t="s">
        <v>417</v>
      </c>
      <c r="B4" s="386" t="s">
        <v>418</v>
      </c>
      <c r="C4" s="386" t="s">
        <v>419</v>
      </c>
      <c r="D4" s="383">
        <v>2097.0</v>
      </c>
      <c r="E4" s="339"/>
      <c r="F4" s="133" t="s">
        <v>404</v>
      </c>
      <c r="G4" s="133" t="s">
        <v>405</v>
      </c>
      <c r="H4" s="133" t="s">
        <v>406</v>
      </c>
      <c r="I4" s="387"/>
      <c r="J4" s="339"/>
      <c r="K4" s="339" t="s">
        <v>1024</v>
      </c>
      <c r="L4" s="339" t="s">
        <v>1025</v>
      </c>
      <c r="M4" s="383" t="s">
        <v>1026</v>
      </c>
      <c r="N4" s="383" t="s">
        <v>1027</v>
      </c>
    </row>
    <row r="5">
      <c r="A5" s="388" t="s">
        <v>448</v>
      </c>
      <c r="B5" s="388" t="s">
        <v>449</v>
      </c>
      <c r="C5" s="388" t="s">
        <v>450</v>
      </c>
      <c r="D5" s="339"/>
      <c r="E5" s="339"/>
      <c r="F5" s="133" t="s">
        <v>480</v>
      </c>
      <c r="G5" s="133" t="s">
        <v>336</v>
      </c>
      <c r="H5" s="133" t="s">
        <v>337</v>
      </c>
      <c r="I5" s="339"/>
      <c r="J5" s="339"/>
      <c r="K5" s="383" t="s">
        <v>1028</v>
      </c>
      <c r="L5" s="383" t="s">
        <v>1029</v>
      </c>
      <c r="M5" s="383" t="s">
        <v>1030</v>
      </c>
      <c r="N5" s="389" t="s">
        <v>1031</v>
      </c>
    </row>
    <row r="6">
      <c r="A6" s="390" t="s">
        <v>401</v>
      </c>
      <c r="B6" s="390" t="s">
        <v>402</v>
      </c>
      <c r="C6" s="390" t="s">
        <v>403</v>
      </c>
      <c r="D6" s="391" t="s">
        <v>299</v>
      </c>
      <c r="E6" s="339"/>
      <c r="F6" s="133" t="s">
        <v>420</v>
      </c>
      <c r="G6" s="133" t="s">
        <v>421</v>
      </c>
      <c r="H6" s="133" t="s">
        <v>422</v>
      </c>
      <c r="I6" s="387"/>
      <c r="J6" s="339"/>
      <c r="K6" s="392" t="s">
        <v>1032</v>
      </c>
      <c r="L6" s="392" t="s">
        <v>1033</v>
      </c>
      <c r="M6" s="392" t="s">
        <v>1034</v>
      </c>
      <c r="N6" s="389" t="s">
        <v>1031</v>
      </c>
    </row>
    <row r="7">
      <c r="A7" s="339"/>
      <c r="B7" s="339"/>
      <c r="C7" s="339"/>
      <c r="D7" s="339"/>
      <c r="E7" s="339"/>
      <c r="F7" s="133" t="s">
        <v>445</v>
      </c>
      <c r="G7" s="133" t="s">
        <v>446</v>
      </c>
      <c r="H7" s="133" t="s">
        <v>447</v>
      </c>
      <c r="I7" s="339"/>
      <c r="J7" s="339"/>
      <c r="K7" s="389" t="s">
        <v>1035</v>
      </c>
      <c r="L7" s="389" t="s">
        <v>1036</v>
      </c>
      <c r="M7" s="389" t="s">
        <v>1037</v>
      </c>
      <c r="N7" s="383" t="s">
        <v>1038</v>
      </c>
    </row>
    <row r="8">
      <c r="A8" s="378" t="s">
        <v>1039</v>
      </c>
      <c r="B8" s="339"/>
      <c r="C8" s="339"/>
      <c r="D8" s="339"/>
      <c r="E8" s="339"/>
      <c r="F8" s="393" t="s">
        <v>396</v>
      </c>
      <c r="G8" s="393" t="s">
        <v>397</v>
      </c>
      <c r="H8" s="394" t="s">
        <v>398</v>
      </c>
      <c r="I8" s="339"/>
      <c r="J8" s="339"/>
      <c r="K8" s="389" t="s">
        <v>1040</v>
      </c>
      <c r="L8" s="389" t="s">
        <v>1041</v>
      </c>
      <c r="M8" s="389" t="s">
        <v>1042</v>
      </c>
      <c r="N8" s="389" t="s">
        <v>1031</v>
      </c>
    </row>
    <row r="9">
      <c r="A9" s="395"/>
      <c r="B9" s="395"/>
      <c r="C9" s="395"/>
      <c r="D9" s="339"/>
      <c r="E9" s="339"/>
      <c r="F9" s="396" t="s">
        <v>350</v>
      </c>
      <c r="G9" s="397" t="s">
        <v>351</v>
      </c>
      <c r="H9" s="398" t="s">
        <v>352</v>
      </c>
      <c r="I9" s="399" t="s">
        <v>1043</v>
      </c>
      <c r="J9" s="339"/>
      <c r="K9" s="383" t="s">
        <v>1044</v>
      </c>
      <c r="L9" s="383" t="s">
        <v>1045</v>
      </c>
      <c r="M9" s="339" t="s">
        <v>1046</v>
      </c>
      <c r="N9" s="389" t="s">
        <v>1031</v>
      </c>
    </row>
    <row r="10">
      <c r="A10" s="400" t="s">
        <v>1047</v>
      </c>
      <c r="B10" s="401"/>
      <c r="C10" s="401"/>
      <c r="D10" s="339"/>
      <c r="E10" s="339"/>
      <c r="F10" s="396" t="s">
        <v>436</v>
      </c>
      <c r="G10" s="396" t="s">
        <v>437</v>
      </c>
      <c r="H10" s="396" t="s">
        <v>438</v>
      </c>
      <c r="I10" s="339"/>
      <c r="J10" s="383"/>
      <c r="K10" s="383" t="s">
        <v>1048</v>
      </c>
      <c r="L10" s="383" t="s">
        <v>1049</v>
      </c>
      <c r="M10" s="383" t="s">
        <v>1050</v>
      </c>
      <c r="N10" s="383" t="s">
        <v>1051</v>
      </c>
    </row>
    <row r="11">
      <c r="A11" s="339"/>
      <c r="B11" s="339"/>
      <c r="C11" s="339"/>
      <c r="D11" s="133"/>
      <c r="E11" s="339"/>
      <c r="F11" s="402" t="s">
        <v>390</v>
      </c>
      <c r="G11" s="396" t="s">
        <v>391</v>
      </c>
      <c r="H11" s="396" t="s">
        <v>392</v>
      </c>
      <c r="I11" s="339"/>
      <c r="J11" s="339"/>
      <c r="K11" s="389" t="s">
        <v>1052</v>
      </c>
      <c r="L11" s="389" t="s">
        <v>1053</v>
      </c>
      <c r="M11" s="389" t="s">
        <v>1054</v>
      </c>
      <c r="N11" s="389" t="s">
        <v>1055</v>
      </c>
    </row>
    <row r="12">
      <c r="A12" s="403" t="s">
        <v>292</v>
      </c>
      <c r="B12" s="403" t="s">
        <v>293</v>
      </c>
      <c r="C12" s="403" t="s">
        <v>294</v>
      </c>
      <c r="D12" s="133">
        <v>2097.0</v>
      </c>
      <c r="E12" s="339"/>
      <c r="F12" s="396" t="s">
        <v>375</v>
      </c>
      <c r="G12" s="396" t="s">
        <v>376</v>
      </c>
      <c r="H12" s="396" t="s">
        <v>377</v>
      </c>
      <c r="I12" s="339"/>
      <c r="J12" s="339"/>
      <c r="K12" s="404" t="s">
        <v>1056</v>
      </c>
      <c r="L12" s="405" t="s">
        <v>1057</v>
      </c>
      <c r="M12" s="405" t="s">
        <v>1058</v>
      </c>
      <c r="N12" s="405" t="s">
        <v>1031</v>
      </c>
      <c r="O12" s="46" t="s">
        <v>1059</v>
      </c>
    </row>
    <row r="13">
      <c r="A13" s="392" t="s">
        <v>345</v>
      </c>
      <c r="B13" s="392" t="s">
        <v>347</v>
      </c>
      <c r="C13" s="392" t="s">
        <v>348</v>
      </c>
      <c r="D13" s="339"/>
      <c r="E13" s="339"/>
      <c r="F13" s="396" t="s">
        <v>432</v>
      </c>
      <c r="G13" s="406" t="s">
        <v>433</v>
      </c>
      <c r="H13" s="396" t="s">
        <v>434</v>
      </c>
      <c r="I13" s="339"/>
      <c r="J13" s="339"/>
      <c r="K13" s="405" t="s">
        <v>1060</v>
      </c>
      <c r="L13" s="405" t="s">
        <v>1061</v>
      </c>
      <c r="M13" s="404" t="s">
        <v>1062</v>
      </c>
      <c r="N13" s="405" t="s">
        <v>1051</v>
      </c>
    </row>
    <row r="14">
      <c r="A14" s="407" t="s">
        <v>363</v>
      </c>
      <c r="B14" s="407" t="s">
        <v>364</v>
      </c>
      <c r="C14" s="407" t="s">
        <v>365</v>
      </c>
      <c r="D14" s="339"/>
      <c r="E14" s="339"/>
      <c r="F14" s="396" t="s">
        <v>423</v>
      </c>
      <c r="G14" s="396" t="s">
        <v>424</v>
      </c>
      <c r="H14" s="396" t="s">
        <v>425</v>
      </c>
      <c r="I14" s="339"/>
      <c r="J14" s="339"/>
      <c r="K14" s="383" t="s">
        <v>1063</v>
      </c>
      <c r="L14" s="383" t="s">
        <v>1064</v>
      </c>
      <c r="M14" s="383" t="s">
        <v>1065</v>
      </c>
      <c r="N14" s="339" t="s">
        <v>1066</v>
      </c>
    </row>
    <row r="15">
      <c r="A15" s="392" t="s">
        <v>451</v>
      </c>
      <c r="B15" s="392" t="s">
        <v>452</v>
      </c>
      <c r="C15" s="392" t="s">
        <v>453</v>
      </c>
      <c r="D15" s="339"/>
      <c r="E15" s="339"/>
      <c r="F15" s="190" t="s">
        <v>388</v>
      </c>
      <c r="G15" s="190" t="s">
        <v>389</v>
      </c>
      <c r="H15" s="190" t="s">
        <v>380</v>
      </c>
      <c r="I15" s="339"/>
      <c r="J15" s="339"/>
      <c r="K15" s="404" t="s">
        <v>1067</v>
      </c>
      <c r="L15" s="405" t="s">
        <v>1068</v>
      </c>
      <c r="M15" s="405" t="s">
        <v>1069</v>
      </c>
      <c r="N15" s="404" t="s">
        <v>1031</v>
      </c>
    </row>
    <row r="16">
      <c r="A16" s="392" t="s">
        <v>1070</v>
      </c>
      <c r="B16" s="392" t="s">
        <v>320</v>
      </c>
      <c r="C16" s="408" t="s">
        <v>294</v>
      </c>
      <c r="D16" s="339"/>
      <c r="E16" s="339"/>
      <c r="F16" s="383" t="s">
        <v>378</v>
      </c>
      <c r="G16" s="383" t="s">
        <v>379</v>
      </c>
      <c r="H16" s="383" t="s">
        <v>380</v>
      </c>
      <c r="I16" s="339"/>
      <c r="J16" s="339"/>
      <c r="K16" s="383" t="s">
        <v>1071</v>
      </c>
      <c r="L16" s="383" t="s">
        <v>1072</v>
      </c>
      <c r="M16" s="383" t="s">
        <v>1073</v>
      </c>
      <c r="N16" s="383" t="s">
        <v>1051</v>
      </c>
    </row>
    <row r="17">
      <c r="A17" s="392" t="s">
        <v>455</v>
      </c>
      <c r="B17" s="392" t="s">
        <v>456</v>
      </c>
      <c r="C17" s="392" t="s">
        <v>457</v>
      </c>
      <c r="D17" s="339"/>
      <c r="E17" s="339"/>
      <c r="F17" s="190" t="s">
        <v>384</v>
      </c>
      <c r="G17" s="190" t="s">
        <v>386</v>
      </c>
      <c r="H17" s="190" t="s">
        <v>380</v>
      </c>
      <c r="I17" s="339"/>
      <c r="J17" s="339"/>
      <c r="K17" s="383" t="s">
        <v>1074</v>
      </c>
      <c r="L17" s="383" t="s">
        <v>1075</v>
      </c>
      <c r="M17" s="383" t="s">
        <v>1076</v>
      </c>
      <c r="N17" s="383" t="s">
        <v>1066</v>
      </c>
    </row>
    <row r="18">
      <c r="A18" s="407" t="s">
        <v>358</v>
      </c>
      <c r="B18" s="407" t="s">
        <v>359</v>
      </c>
      <c r="C18" s="407" t="s">
        <v>360</v>
      </c>
      <c r="D18" s="383" t="s">
        <v>361</v>
      </c>
      <c r="E18" s="339"/>
      <c r="F18" s="133" t="s">
        <v>399</v>
      </c>
      <c r="G18" s="133" t="s">
        <v>400</v>
      </c>
      <c r="H18" s="188" t="s">
        <v>469</v>
      </c>
      <c r="I18" s="339"/>
      <c r="J18" s="339"/>
      <c r="K18" s="383" t="s">
        <v>1077</v>
      </c>
      <c r="L18" s="383" t="s">
        <v>1078</v>
      </c>
      <c r="M18" s="383" t="s">
        <v>1079</v>
      </c>
      <c r="N18" s="383" t="s">
        <v>1027</v>
      </c>
    </row>
    <row r="19">
      <c r="A19" s="409" t="s">
        <v>442</v>
      </c>
      <c r="B19" s="409" t="s">
        <v>443</v>
      </c>
      <c r="C19" s="409" t="s">
        <v>444</v>
      </c>
      <c r="D19" s="339"/>
      <c r="E19" s="339"/>
      <c r="F19" s="383" t="s">
        <v>378</v>
      </c>
      <c r="G19" s="383" t="s">
        <v>379</v>
      </c>
      <c r="H19" s="383" t="s">
        <v>380</v>
      </c>
      <c r="I19" s="410"/>
      <c r="J19" s="339"/>
      <c r="K19" s="383" t="s">
        <v>1080</v>
      </c>
      <c r="L19" s="383" t="s">
        <v>1081</v>
      </c>
      <c r="M19" s="383" t="s">
        <v>1082</v>
      </c>
      <c r="N19" s="383" t="s">
        <v>824</v>
      </c>
    </row>
    <row r="20">
      <c r="A20" s="407" t="s">
        <v>303</v>
      </c>
      <c r="B20" s="407" t="s">
        <v>304</v>
      </c>
      <c r="C20" s="407" t="s">
        <v>305</v>
      </c>
      <c r="D20" s="339"/>
      <c r="E20" s="339"/>
      <c r="F20" s="407" t="s">
        <v>429</v>
      </c>
      <c r="G20" s="407" t="s">
        <v>430</v>
      </c>
      <c r="H20" s="407" t="s">
        <v>431</v>
      </c>
      <c r="I20" s="411"/>
      <c r="J20" s="339"/>
      <c r="K20" s="383" t="s">
        <v>1083</v>
      </c>
      <c r="L20" s="383" t="s">
        <v>1084</v>
      </c>
      <c r="M20" s="412" t="s">
        <v>1085</v>
      </c>
      <c r="N20" s="413" t="s">
        <v>1086</v>
      </c>
    </row>
    <row r="21">
      <c r="A21" s="407" t="s">
        <v>393</v>
      </c>
      <c r="B21" s="407" t="s">
        <v>394</v>
      </c>
      <c r="C21" s="407" t="s">
        <v>395</v>
      </c>
      <c r="D21" s="339"/>
      <c r="E21" s="339"/>
      <c r="F21" s="133" t="s">
        <v>412</v>
      </c>
      <c r="G21" s="181" t="s">
        <v>413</v>
      </c>
      <c r="H21" s="383" t="s">
        <v>414</v>
      </c>
      <c r="I21" s="339"/>
      <c r="J21" s="339"/>
      <c r="K21" s="408" t="s">
        <v>1087</v>
      </c>
      <c r="L21" s="408" t="s">
        <v>1088</v>
      </c>
      <c r="M21" s="408" t="s">
        <v>1089</v>
      </c>
      <c r="N21" s="383" t="s">
        <v>332</v>
      </c>
    </row>
    <row r="22">
      <c r="A22" s="414" t="s">
        <v>328</v>
      </c>
      <c r="B22" s="414" t="s">
        <v>311</v>
      </c>
      <c r="C22" s="414" t="s">
        <v>312</v>
      </c>
      <c r="D22" s="339"/>
      <c r="E22" s="339"/>
      <c r="F22" s="133" t="s">
        <v>338</v>
      </c>
      <c r="G22" s="133" t="s">
        <v>339</v>
      </c>
      <c r="H22" s="383" t="s">
        <v>340</v>
      </c>
      <c r="I22" s="339"/>
      <c r="J22" s="339"/>
      <c r="K22" s="392" t="s">
        <v>409</v>
      </c>
      <c r="L22" s="392" t="s">
        <v>410</v>
      </c>
      <c r="M22" s="392" t="s">
        <v>411</v>
      </c>
      <c r="N22" s="383" t="s">
        <v>250</v>
      </c>
    </row>
    <row r="23">
      <c r="A23" s="414" t="s">
        <v>439</v>
      </c>
      <c r="B23" s="414" t="s">
        <v>440</v>
      </c>
      <c r="C23" s="415" t="s">
        <v>334</v>
      </c>
      <c r="D23" s="339"/>
      <c r="E23" s="339"/>
      <c r="F23" s="339"/>
      <c r="G23" s="339"/>
      <c r="H23" s="133"/>
      <c r="I23" s="339"/>
      <c r="J23" s="339"/>
      <c r="K23" s="339"/>
      <c r="L23" s="339"/>
      <c r="M23" s="339"/>
      <c r="N23" s="339"/>
    </row>
    <row r="24">
      <c r="A24" s="339" t="s">
        <v>371</v>
      </c>
      <c r="B24" s="416" t="s">
        <v>373</v>
      </c>
      <c r="C24" s="417" t="s">
        <v>374</v>
      </c>
      <c r="D24" s="339"/>
      <c r="E24" s="339"/>
      <c r="F24" s="418" t="s">
        <v>463</v>
      </c>
      <c r="G24" s="418" t="s">
        <v>465</v>
      </c>
      <c r="H24" s="418" t="s">
        <v>356</v>
      </c>
      <c r="I24" s="133"/>
      <c r="J24" s="395"/>
      <c r="K24" s="339"/>
      <c r="L24" s="339"/>
      <c r="M24" s="339"/>
      <c r="N24" s="339"/>
    </row>
    <row r="25">
      <c r="A25" s="419" t="s">
        <v>366</v>
      </c>
      <c r="B25" s="420" t="s">
        <v>367</v>
      </c>
      <c r="C25" s="420" t="s">
        <v>368</v>
      </c>
      <c r="D25" s="383" t="s">
        <v>369</v>
      </c>
      <c r="E25" s="339"/>
      <c r="F25" s="133" t="s">
        <v>1090</v>
      </c>
      <c r="G25" s="133" t="s">
        <v>1091</v>
      </c>
      <c r="H25" s="133" t="s">
        <v>1092</v>
      </c>
      <c r="I25" s="133"/>
      <c r="J25" s="421">
        <v>60.0</v>
      </c>
      <c r="K25" s="422" t="s">
        <v>331</v>
      </c>
      <c r="L25" s="422" t="s">
        <v>333</v>
      </c>
      <c r="M25" s="422" t="s">
        <v>1093</v>
      </c>
      <c r="N25" s="383" t="s">
        <v>332</v>
      </c>
    </row>
    <row r="26">
      <c r="A26" s="383" t="s">
        <v>415</v>
      </c>
      <c r="B26" s="383" t="s">
        <v>416</v>
      </c>
      <c r="C26" s="383">
        <v>196721.0</v>
      </c>
      <c r="D26" s="339"/>
      <c r="E26" s="339"/>
      <c r="F26" s="181" t="s">
        <v>1094</v>
      </c>
      <c r="G26" s="133" t="s">
        <v>1095</v>
      </c>
      <c r="H26" s="133" t="s">
        <v>1092</v>
      </c>
      <c r="I26" s="133"/>
      <c r="J26" s="423">
        <v>57.0</v>
      </c>
      <c r="K26" s="339"/>
      <c r="L26" s="339"/>
      <c r="M26" s="339"/>
      <c r="N26" s="339"/>
    </row>
    <row r="27">
      <c r="A27" s="339"/>
      <c r="B27" s="339"/>
      <c r="C27" s="339"/>
      <c r="D27" s="339"/>
      <c r="E27" s="339"/>
      <c r="F27" s="133" t="s">
        <v>1096</v>
      </c>
      <c r="G27" s="424" t="s">
        <v>1097</v>
      </c>
      <c r="H27" s="133" t="s">
        <v>1092</v>
      </c>
      <c r="I27" s="133"/>
      <c r="J27" s="423">
        <v>36.0</v>
      </c>
      <c r="K27" s="339"/>
      <c r="L27" s="339"/>
      <c r="M27" s="339"/>
      <c r="N27" s="339"/>
    </row>
    <row r="28">
      <c r="A28" s="339"/>
      <c r="B28" s="133"/>
      <c r="C28" s="133"/>
      <c r="D28" s="339"/>
      <c r="E28" s="339"/>
      <c r="F28" s="133" t="s">
        <v>1098</v>
      </c>
      <c r="G28" s="425" t="s">
        <v>1099</v>
      </c>
      <c r="H28" s="133" t="s">
        <v>1092</v>
      </c>
      <c r="I28" s="339"/>
      <c r="J28" s="383"/>
      <c r="K28" s="339"/>
      <c r="L28" s="339"/>
      <c r="M28" s="339"/>
      <c r="N28" s="339"/>
    </row>
    <row r="29">
      <c r="A29" s="133"/>
      <c r="B29" s="133"/>
      <c r="C29" s="133"/>
      <c r="D29" s="339"/>
      <c r="E29" s="339"/>
      <c r="F29" s="133" t="s">
        <v>1100</v>
      </c>
      <c r="G29" s="133" t="s">
        <v>1101</v>
      </c>
      <c r="H29" s="133" t="s">
        <v>1092</v>
      </c>
      <c r="I29" s="339"/>
      <c r="J29" s="383"/>
      <c r="K29" s="426" t="s">
        <v>407</v>
      </c>
      <c r="L29" s="426" t="s">
        <v>320</v>
      </c>
      <c r="M29" s="426" t="s">
        <v>294</v>
      </c>
      <c r="N29" s="426" t="s">
        <v>1102</v>
      </c>
    </row>
    <row r="30">
      <c r="A30" s="133"/>
      <c r="B30" s="133"/>
      <c r="C30" s="339"/>
      <c r="D30" s="339"/>
      <c r="E30" s="339"/>
      <c r="F30" s="393" t="s">
        <v>1103</v>
      </c>
      <c r="G30" s="393" t="s">
        <v>1104</v>
      </c>
      <c r="H30" s="393" t="s">
        <v>1092</v>
      </c>
      <c r="I30" s="339"/>
      <c r="J30" s="383"/>
      <c r="K30" s="426" t="s">
        <v>1105</v>
      </c>
      <c r="L30" s="426" t="s">
        <v>1106</v>
      </c>
      <c r="M30" s="426" t="s">
        <v>1107</v>
      </c>
      <c r="N30" s="383"/>
    </row>
    <row r="31">
      <c r="A31" s="133"/>
      <c r="B31" s="133"/>
      <c r="C31" s="133"/>
      <c r="D31" s="339"/>
      <c r="E31" s="339"/>
      <c r="F31" s="133" t="s">
        <v>1108</v>
      </c>
      <c r="G31" s="133" t="s">
        <v>1109</v>
      </c>
      <c r="H31" s="133" t="s">
        <v>1092</v>
      </c>
      <c r="I31" s="339"/>
      <c r="J31" s="427">
        <v>22.0</v>
      </c>
      <c r="K31" s="426" t="s">
        <v>1110</v>
      </c>
      <c r="L31" s="426" t="s">
        <v>1111</v>
      </c>
      <c r="M31" s="426" t="s">
        <v>1107</v>
      </c>
      <c r="N31" s="383"/>
    </row>
    <row r="32">
      <c r="A32" s="339"/>
      <c r="B32" s="339"/>
      <c r="C32" s="339"/>
      <c r="D32" s="339"/>
      <c r="E32" s="339"/>
      <c r="F32" s="414" t="s">
        <v>1112</v>
      </c>
      <c r="G32" s="414" t="s">
        <v>1113</v>
      </c>
      <c r="H32" s="414" t="s">
        <v>1092</v>
      </c>
      <c r="I32" s="339"/>
      <c r="J32" s="383"/>
      <c r="K32" s="426" t="s">
        <v>1114</v>
      </c>
      <c r="L32" s="426" t="s">
        <v>1115</v>
      </c>
      <c r="M32" s="426" t="s">
        <v>1107</v>
      </c>
      <c r="N32" s="383"/>
    </row>
    <row r="33">
      <c r="A33" s="339"/>
      <c r="B33" s="339"/>
      <c r="C33" s="339"/>
      <c r="D33" s="339"/>
      <c r="E33" s="339"/>
      <c r="F33" s="414" t="s">
        <v>353</v>
      </c>
      <c r="G33" s="133" t="s">
        <v>355</v>
      </c>
      <c r="H33" s="133" t="s">
        <v>356</v>
      </c>
      <c r="I33" s="339"/>
      <c r="J33" s="383"/>
      <c r="K33" s="426" t="s">
        <v>1116</v>
      </c>
      <c r="L33" s="426" t="s">
        <v>1117</v>
      </c>
      <c r="M33" s="426" t="s">
        <v>1107</v>
      </c>
      <c r="N33" s="383"/>
    </row>
    <row r="34">
      <c r="A34" s="339"/>
      <c r="B34" s="339"/>
      <c r="C34" s="339"/>
      <c r="D34" s="339"/>
      <c r="E34" s="339"/>
      <c r="F34" s="133" t="s">
        <v>1118</v>
      </c>
      <c r="G34" s="133" t="s">
        <v>1119</v>
      </c>
      <c r="H34" s="133" t="s">
        <v>1120</v>
      </c>
      <c r="I34" s="339"/>
      <c r="J34" s="427">
        <v>23.0</v>
      </c>
      <c r="K34" s="426" t="s">
        <v>1121</v>
      </c>
      <c r="L34" s="426" t="s">
        <v>1122</v>
      </c>
      <c r="M34" s="426" t="s">
        <v>1107</v>
      </c>
      <c r="N34" s="383"/>
    </row>
    <row r="35">
      <c r="A35" s="388" t="s">
        <v>1123</v>
      </c>
      <c r="B35" s="382"/>
      <c r="C35" s="382"/>
      <c r="D35" s="339"/>
      <c r="E35" s="339"/>
      <c r="F35" s="404" t="s">
        <v>1124</v>
      </c>
      <c r="G35" s="404" t="s">
        <v>1125</v>
      </c>
      <c r="H35" s="393" t="s">
        <v>1120</v>
      </c>
      <c r="I35" s="339"/>
      <c r="J35" s="339"/>
      <c r="K35" s="426" t="s">
        <v>1126</v>
      </c>
      <c r="L35" s="426" t="s">
        <v>1127</v>
      </c>
      <c r="M35" s="426" t="s">
        <v>1107</v>
      </c>
      <c r="N35" s="383"/>
    </row>
    <row r="36">
      <c r="A36" s="383" t="s">
        <v>1128</v>
      </c>
      <c r="B36" s="383" t="s">
        <v>1129</v>
      </c>
      <c r="C36" s="412" t="s">
        <v>428</v>
      </c>
      <c r="D36" s="339"/>
      <c r="E36" s="339"/>
      <c r="F36" s="339" t="s">
        <v>1130</v>
      </c>
      <c r="G36" s="339" t="s">
        <v>1131</v>
      </c>
      <c r="H36" s="133" t="s">
        <v>1132</v>
      </c>
      <c r="I36" s="339"/>
      <c r="J36" s="423">
        <v>28.0</v>
      </c>
      <c r="K36" s="426" t="s">
        <v>1133</v>
      </c>
      <c r="L36" s="426" t="s">
        <v>1134</v>
      </c>
      <c r="M36" s="426" t="s">
        <v>1107</v>
      </c>
      <c r="N36" s="427">
        <v>49.0</v>
      </c>
    </row>
    <row r="37">
      <c r="A37" s="383" t="s">
        <v>1135</v>
      </c>
      <c r="B37" s="383" t="s">
        <v>1136</v>
      </c>
      <c r="C37" s="383" t="s">
        <v>428</v>
      </c>
      <c r="D37" s="339"/>
      <c r="E37" s="339"/>
      <c r="F37" s="339" t="s">
        <v>1137</v>
      </c>
      <c r="G37" s="339" t="s">
        <v>1138</v>
      </c>
      <c r="H37" s="133" t="s">
        <v>1120</v>
      </c>
      <c r="I37" s="339"/>
      <c r="J37" s="339"/>
      <c r="K37" s="426" t="s">
        <v>1139</v>
      </c>
      <c r="L37" s="426" t="s">
        <v>1140</v>
      </c>
      <c r="M37" s="426" t="s">
        <v>1107</v>
      </c>
      <c r="N37" s="383"/>
    </row>
    <row r="38">
      <c r="A38" s="383" t="s">
        <v>1141</v>
      </c>
      <c r="B38" s="383" t="s">
        <v>1142</v>
      </c>
      <c r="C38" s="383" t="s">
        <v>428</v>
      </c>
      <c r="D38" s="339"/>
      <c r="E38" s="339"/>
      <c r="F38" s="414" t="s">
        <v>1143</v>
      </c>
      <c r="G38" s="414" t="s">
        <v>1144</v>
      </c>
      <c r="H38" s="414" t="s">
        <v>356</v>
      </c>
      <c r="I38" s="428"/>
      <c r="J38" s="339"/>
      <c r="K38" s="426" t="s">
        <v>1145</v>
      </c>
      <c r="L38" s="426" t="s">
        <v>1146</v>
      </c>
      <c r="M38" s="426" t="s">
        <v>1107</v>
      </c>
      <c r="N38" s="427">
        <v>40.0</v>
      </c>
    </row>
    <row r="39">
      <c r="A39" s="383" t="s">
        <v>1147</v>
      </c>
      <c r="B39" s="383" t="s">
        <v>1148</v>
      </c>
      <c r="C39" s="383" t="s">
        <v>428</v>
      </c>
      <c r="D39" s="339"/>
      <c r="E39" s="339"/>
      <c r="F39" s="190" t="s">
        <v>1149</v>
      </c>
      <c r="G39" s="190" t="s">
        <v>1150</v>
      </c>
      <c r="H39" s="190" t="s">
        <v>356</v>
      </c>
      <c r="I39" s="133"/>
      <c r="J39" s="339"/>
      <c r="K39" s="426" t="s">
        <v>1151</v>
      </c>
      <c r="L39" s="426" t="s">
        <v>1152</v>
      </c>
      <c r="M39" s="426" t="s">
        <v>1107</v>
      </c>
      <c r="N39" s="383"/>
    </row>
    <row r="40">
      <c r="A40" s="429" t="s">
        <v>426</v>
      </c>
      <c r="B40" s="429" t="s">
        <v>427</v>
      </c>
      <c r="C40" s="430" t="s">
        <v>428</v>
      </c>
      <c r="D40" s="431">
        <v>5536.0</v>
      </c>
      <c r="E40" s="339"/>
      <c r="F40" s="133" t="s">
        <v>1153</v>
      </c>
      <c r="G40" s="133" t="s">
        <v>1154</v>
      </c>
      <c r="H40" s="133" t="s">
        <v>1120</v>
      </c>
      <c r="I40" s="133"/>
      <c r="J40" s="339"/>
      <c r="K40" s="339"/>
      <c r="L40" s="339"/>
      <c r="M40" s="339"/>
      <c r="N40" s="339"/>
    </row>
    <row r="41">
      <c r="A41" s="432" t="s">
        <v>458</v>
      </c>
      <c r="B41" s="432" t="s">
        <v>459</v>
      </c>
      <c r="C41" s="432" t="s">
        <v>460</v>
      </c>
      <c r="D41" s="339"/>
      <c r="E41" s="339"/>
      <c r="F41" s="133" t="s">
        <v>1155</v>
      </c>
      <c r="G41" s="133" t="s">
        <v>1156</v>
      </c>
      <c r="H41" s="133" t="s">
        <v>1157</v>
      </c>
      <c r="I41" s="133"/>
      <c r="J41" s="339"/>
      <c r="K41" s="339"/>
      <c r="L41" s="339"/>
      <c r="M41" s="339"/>
      <c r="N41" s="339"/>
    </row>
    <row r="42">
      <c r="A42" s="432" t="s">
        <v>461</v>
      </c>
      <c r="B42" s="432" t="s">
        <v>462</v>
      </c>
      <c r="C42" s="432" t="s">
        <v>428</v>
      </c>
      <c r="D42" s="339"/>
      <c r="E42" s="339"/>
      <c r="F42" s="133" t="s">
        <v>1158</v>
      </c>
      <c r="G42" s="133" t="s">
        <v>1159</v>
      </c>
      <c r="H42" s="133" t="s">
        <v>1160</v>
      </c>
      <c r="I42" s="133"/>
      <c r="J42" s="339"/>
      <c r="K42" s="339"/>
      <c r="L42" s="339"/>
      <c r="M42" s="339"/>
      <c r="N42" s="339"/>
    </row>
    <row r="43">
      <c r="A43" s="412" t="s">
        <v>1161</v>
      </c>
      <c r="B43" s="433" t="s">
        <v>1142</v>
      </c>
      <c r="C43" s="433" t="s">
        <v>460</v>
      </c>
      <c r="D43" s="383" t="s">
        <v>1162</v>
      </c>
      <c r="E43" s="339"/>
      <c r="F43" s="133" t="s">
        <v>1163</v>
      </c>
      <c r="G43" s="133" t="s">
        <v>1164</v>
      </c>
      <c r="H43" s="133" t="s">
        <v>1165</v>
      </c>
      <c r="I43" s="181" t="s">
        <v>1166</v>
      </c>
      <c r="J43" s="383"/>
      <c r="K43" s="339"/>
      <c r="L43" s="339"/>
      <c r="M43" s="339"/>
      <c r="N43" s="339"/>
    </row>
    <row r="44">
      <c r="A44" s="409" t="s">
        <v>1167</v>
      </c>
      <c r="B44" s="409" t="s">
        <v>1168</v>
      </c>
      <c r="C44" s="409" t="s">
        <v>428</v>
      </c>
      <c r="D44" s="339"/>
      <c r="E44" s="339"/>
      <c r="F44" s="181" t="s">
        <v>1169</v>
      </c>
      <c r="G44" s="133" t="s">
        <v>1170</v>
      </c>
      <c r="H44" s="133" t="s">
        <v>1171</v>
      </c>
      <c r="I44" s="133"/>
      <c r="J44" s="383"/>
      <c r="K44" s="339"/>
      <c r="L44" s="339"/>
      <c r="M44" s="339"/>
      <c r="N44" s="339"/>
    </row>
    <row r="45">
      <c r="A45" s="383" t="s">
        <v>1172</v>
      </c>
      <c r="B45" s="383" t="s">
        <v>1173</v>
      </c>
      <c r="C45" s="425" t="s">
        <v>460</v>
      </c>
      <c r="D45" s="339"/>
      <c r="E45" s="339"/>
      <c r="F45" s="133" t="s">
        <v>1174</v>
      </c>
      <c r="G45" s="133" t="s">
        <v>1175</v>
      </c>
      <c r="H45" s="133" t="s">
        <v>1176</v>
      </c>
      <c r="I45" s="133"/>
      <c r="J45" s="383"/>
      <c r="K45" s="339"/>
      <c r="L45" s="339"/>
      <c r="M45" s="339"/>
      <c r="N45" s="383"/>
    </row>
    <row r="46">
      <c r="A46" s="388" t="s">
        <v>1177</v>
      </c>
      <c r="B46" s="388"/>
      <c r="C46" s="382"/>
      <c r="D46" s="339"/>
      <c r="E46" s="339"/>
      <c r="F46" s="393" t="s">
        <v>1178</v>
      </c>
      <c r="G46" s="393" t="s">
        <v>1179</v>
      </c>
      <c r="H46" s="393" t="s">
        <v>1171</v>
      </c>
      <c r="I46" s="133"/>
      <c r="J46" s="383"/>
      <c r="K46" s="339"/>
      <c r="L46" s="339"/>
      <c r="M46" s="339"/>
      <c r="N46" s="339"/>
    </row>
    <row r="47">
      <c r="A47" s="383" t="s">
        <v>1180</v>
      </c>
      <c r="B47" s="383" t="s">
        <v>1181</v>
      </c>
      <c r="C47" s="425" t="s">
        <v>1182</v>
      </c>
      <c r="D47" s="339"/>
      <c r="E47" s="339"/>
      <c r="F47" s="133" t="s">
        <v>1183</v>
      </c>
      <c r="G47" s="133" t="s">
        <v>1184</v>
      </c>
      <c r="H47" s="133" t="s">
        <v>1185</v>
      </c>
      <c r="I47" s="339"/>
      <c r="J47" s="339"/>
      <c r="K47" s="339"/>
      <c r="L47" s="339"/>
      <c r="M47" s="339"/>
      <c r="N47" s="339"/>
    </row>
    <row r="48">
      <c r="A48" s="383" t="s">
        <v>1186</v>
      </c>
      <c r="B48" s="426" t="s">
        <v>1187</v>
      </c>
      <c r="C48" s="426" t="s">
        <v>1188</v>
      </c>
      <c r="D48" s="339"/>
      <c r="E48" s="339"/>
      <c r="F48" s="133" t="s">
        <v>1189</v>
      </c>
      <c r="G48" s="133" t="s">
        <v>1190</v>
      </c>
      <c r="H48" s="133" t="s">
        <v>1092</v>
      </c>
      <c r="I48" s="339"/>
      <c r="J48" s="339"/>
      <c r="K48" s="339"/>
      <c r="L48" s="339"/>
      <c r="M48" s="339"/>
      <c r="N48" s="339"/>
    </row>
    <row r="49">
      <c r="A49" s="383" t="s">
        <v>1191</v>
      </c>
      <c r="B49" s="426" t="s">
        <v>1192</v>
      </c>
      <c r="C49" s="434">
        <v>1.3691379E7</v>
      </c>
      <c r="D49" s="339"/>
      <c r="E49" s="339"/>
      <c r="F49" s="393" t="s">
        <v>1193</v>
      </c>
      <c r="G49" s="393" t="s">
        <v>1194</v>
      </c>
      <c r="H49" s="393" t="s">
        <v>1092</v>
      </c>
      <c r="I49" s="339"/>
      <c r="J49" s="339"/>
      <c r="K49" s="339"/>
      <c r="L49" s="339"/>
      <c r="M49" s="339"/>
      <c r="N49" s="339"/>
    </row>
    <row r="50">
      <c r="A50" s="383" t="s">
        <v>1195</v>
      </c>
      <c r="B50" s="426" t="s">
        <v>1196</v>
      </c>
      <c r="C50" s="425" t="s">
        <v>1197</v>
      </c>
      <c r="D50" s="339"/>
      <c r="E50" s="339"/>
      <c r="F50" s="383" t="s">
        <v>1198</v>
      </c>
      <c r="G50" s="383" t="s">
        <v>1199</v>
      </c>
      <c r="H50" s="383" t="s">
        <v>1120</v>
      </c>
      <c r="I50" s="339"/>
      <c r="J50" s="339"/>
      <c r="K50" s="339"/>
      <c r="L50" s="339"/>
      <c r="M50" s="339"/>
      <c r="N50" s="339"/>
    </row>
    <row r="51">
      <c r="A51" s="383" t="s">
        <v>1200</v>
      </c>
      <c r="B51" s="426" t="s">
        <v>1201</v>
      </c>
      <c r="C51" s="426" t="s">
        <v>1188</v>
      </c>
      <c r="D51" s="339"/>
      <c r="E51" s="339"/>
      <c r="F51" s="383" t="s">
        <v>1202</v>
      </c>
      <c r="G51" s="383" t="s">
        <v>849</v>
      </c>
      <c r="H51" s="383" t="s">
        <v>595</v>
      </c>
      <c r="I51" s="339"/>
      <c r="J51" s="339"/>
      <c r="K51" s="339"/>
      <c r="L51" s="339"/>
      <c r="M51" s="339"/>
      <c r="N51" s="339"/>
    </row>
    <row r="52">
      <c r="A52" s="383" t="s">
        <v>1203</v>
      </c>
      <c r="B52" s="426" t="s">
        <v>1204</v>
      </c>
      <c r="C52" s="426" t="s">
        <v>1188</v>
      </c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</row>
    <row r="53">
      <c r="A53" s="383" t="s">
        <v>1205</v>
      </c>
      <c r="B53" s="426" t="s">
        <v>1206</v>
      </c>
      <c r="C53" s="426" t="s">
        <v>1188</v>
      </c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</row>
    <row r="54">
      <c r="A54" s="405" t="s">
        <v>1207</v>
      </c>
      <c r="B54" s="435" t="s">
        <v>1208</v>
      </c>
      <c r="C54" s="436" t="s">
        <v>1209</v>
      </c>
      <c r="D54" s="385" t="s">
        <v>1210</v>
      </c>
      <c r="E54" s="339"/>
      <c r="F54" s="339"/>
      <c r="G54" s="339"/>
      <c r="H54" s="339"/>
      <c r="I54" s="339"/>
      <c r="J54" s="339"/>
      <c r="K54" s="339"/>
      <c r="L54" s="339"/>
      <c r="M54" s="339"/>
      <c r="N54" s="339"/>
    </row>
    <row r="55">
      <c r="A55" s="389" t="s">
        <v>1211</v>
      </c>
      <c r="B55" s="389" t="s">
        <v>1212</v>
      </c>
      <c r="C55" s="425" t="s">
        <v>1213</v>
      </c>
      <c r="D55" s="385" t="s">
        <v>1214</v>
      </c>
      <c r="E55" s="339"/>
      <c r="F55" s="339"/>
      <c r="G55" s="339"/>
      <c r="H55" s="339"/>
      <c r="I55" s="339"/>
      <c r="J55" s="339"/>
      <c r="K55" s="339"/>
      <c r="L55" s="339"/>
      <c r="M55" s="339"/>
      <c r="N55" s="339"/>
    </row>
    <row r="56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12.88"/>
  </cols>
  <sheetData>
    <row r="1">
      <c r="A1" s="46" t="s">
        <v>1215</v>
      </c>
    </row>
    <row r="4">
      <c r="B4" s="46" t="s">
        <v>1216</v>
      </c>
      <c r="H4" s="46" t="s">
        <v>1217</v>
      </c>
      <c r="N4" s="46" t="s">
        <v>1218</v>
      </c>
    </row>
    <row r="5">
      <c r="B5" s="437" t="s">
        <v>1219</v>
      </c>
      <c r="C5" s="438" t="s">
        <v>17</v>
      </c>
      <c r="D5" s="439" t="s">
        <v>751</v>
      </c>
      <c r="E5" s="440" t="s">
        <v>1220</v>
      </c>
      <c r="F5" s="441" t="s">
        <v>1221</v>
      </c>
      <c r="H5" s="437" t="s">
        <v>1219</v>
      </c>
      <c r="I5" s="438" t="s">
        <v>17</v>
      </c>
      <c r="J5" s="439" t="s">
        <v>751</v>
      </c>
      <c r="K5" s="440" t="s">
        <v>1220</v>
      </c>
      <c r="L5" s="441" t="s">
        <v>1221</v>
      </c>
      <c r="N5" s="437" t="s">
        <v>1219</v>
      </c>
      <c r="O5" s="438" t="s">
        <v>17</v>
      </c>
      <c r="P5" s="439" t="s">
        <v>751</v>
      </c>
      <c r="Q5" s="440" t="s">
        <v>1220</v>
      </c>
      <c r="R5" s="441" t="s">
        <v>1221</v>
      </c>
    </row>
    <row r="6">
      <c r="B6" s="442" t="s">
        <v>932</v>
      </c>
      <c r="C6" s="108" t="s">
        <v>722</v>
      </c>
      <c r="D6" s="443" t="s">
        <v>1222</v>
      </c>
      <c r="E6" s="444" t="s">
        <v>1223</v>
      </c>
      <c r="F6" s="445"/>
      <c r="H6" s="442" t="s">
        <v>1224</v>
      </c>
      <c r="I6" s="108" t="s">
        <v>1225</v>
      </c>
      <c r="J6" s="443" t="s">
        <v>1226</v>
      </c>
      <c r="K6" s="444" t="s">
        <v>1227</v>
      </c>
      <c r="L6" s="445" t="s">
        <v>1228</v>
      </c>
      <c r="N6" s="442" t="s">
        <v>1229</v>
      </c>
      <c r="O6" s="108" t="s">
        <v>1230</v>
      </c>
      <c r="P6" s="443" t="s">
        <v>1231</v>
      </c>
      <c r="Q6" s="444" t="s">
        <v>1232</v>
      </c>
      <c r="R6" s="445" t="s">
        <v>1233</v>
      </c>
    </row>
    <row r="7">
      <c r="B7" s="446"/>
      <c r="C7" s="447"/>
      <c r="D7" s="448"/>
      <c r="E7" s="449"/>
      <c r="F7" s="445"/>
      <c r="H7" s="442" t="s">
        <v>417</v>
      </c>
      <c r="I7" s="108" t="s">
        <v>47</v>
      </c>
      <c r="J7" s="443" t="s">
        <v>1234</v>
      </c>
      <c r="K7" s="444" t="s">
        <v>1235</v>
      </c>
      <c r="L7" s="445" t="s">
        <v>1236</v>
      </c>
      <c r="N7" s="442" t="s">
        <v>692</v>
      </c>
      <c r="O7" s="108" t="s">
        <v>23</v>
      </c>
      <c r="P7" s="443" t="s">
        <v>1237</v>
      </c>
      <c r="Q7" s="444" t="s">
        <v>1238</v>
      </c>
      <c r="R7" s="445" t="s">
        <v>1239</v>
      </c>
    </row>
    <row r="8">
      <c r="B8" s="446"/>
      <c r="C8" s="447"/>
      <c r="D8" s="448"/>
      <c r="E8" s="449"/>
      <c r="F8" s="445"/>
      <c r="H8" s="442" t="s">
        <v>1240</v>
      </c>
      <c r="I8" s="108" t="s">
        <v>1241</v>
      </c>
      <c r="J8" s="443" t="s">
        <v>1242</v>
      </c>
      <c r="K8" s="444" t="s">
        <v>1243</v>
      </c>
      <c r="L8" s="445" t="s">
        <v>1236</v>
      </c>
      <c r="N8" s="442" t="s">
        <v>1244</v>
      </c>
      <c r="O8" s="108" t="s">
        <v>1245</v>
      </c>
      <c r="P8" s="443" t="s">
        <v>1246</v>
      </c>
      <c r="Q8" s="444" t="s">
        <v>1247</v>
      </c>
      <c r="R8" s="445" t="s">
        <v>1248</v>
      </c>
    </row>
    <row r="9">
      <c r="B9" s="446"/>
      <c r="C9" s="447"/>
      <c r="D9" s="448"/>
      <c r="E9" s="449"/>
      <c r="F9" s="445"/>
      <c r="H9" s="442" t="s">
        <v>292</v>
      </c>
      <c r="I9" s="108" t="s">
        <v>1249</v>
      </c>
      <c r="J9" s="448"/>
      <c r="K9" s="444" t="s">
        <v>1250</v>
      </c>
      <c r="L9" s="445" t="s">
        <v>1236</v>
      </c>
      <c r="N9" s="446"/>
      <c r="O9" s="447"/>
      <c r="P9" s="448"/>
      <c r="Q9" s="449"/>
      <c r="R9" s="445"/>
    </row>
    <row r="10">
      <c r="B10" s="446"/>
      <c r="C10" s="447"/>
      <c r="D10" s="448"/>
      <c r="E10" s="449"/>
      <c r="F10" s="445"/>
      <c r="H10" s="442" t="s">
        <v>363</v>
      </c>
      <c r="I10" s="108" t="s">
        <v>1251</v>
      </c>
      <c r="J10" s="443" t="s">
        <v>1252</v>
      </c>
      <c r="K10" s="444" t="s">
        <v>1253</v>
      </c>
      <c r="L10" s="445" t="s">
        <v>1254</v>
      </c>
      <c r="N10" s="446"/>
      <c r="O10" s="447"/>
      <c r="P10" s="448"/>
      <c r="Q10" s="449"/>
      <c r="R10" s="445"/>
    </row>
    <row r="11">
      <c r="B11" s="446"/>
      <c r="C11" s="447"/>
      <c r="D11" s="448"/>
      <c r="E11" s="449"/>
      <c r="F11" s="445"/>
      <c r="H11" s="442" t="s">
        <v>451</v>
      </c>
      <c r="I11" s="108" t="s">
        <v>1255</v>
      </c>
      <c r="J11" s="443" t="s">
        <v>1256</v>
      </c>
      <c r="K11" s="449"/>
      <c r="L11" s="445" t="s">
        <v>1236</v>
      </c>
      <c r="N11" s="446"/>
      <c r="O11" s="447"/>
      <c r="P11" s="448"/>
      <c r="Q11" s="449"/>
      <c r="R11" s="445"/>
    </row>
    <row r="12">
      <c r="B12" s="446"/>
      <c r="C12" s="447"/>
      <c r="D12" s="448"/>
      <c r="E12" s="449"/>
      <c r="F12" s="445"/>
      <c r="H12" s="442" t="s">
        <v>358</v>
      </c>
      <c r="I12" s="108" t="s">
        <v>358</v>
      </c>
      <c r="J12" s="443" t="s">
        <v>1257</v>
      </c>
      <c r="K12" s="444" t="s">
        <v>257</v>
      </c>
      <c r="L12" s="445" t="s">
        <v>1236</v>
      </c>
      <c r="N12" s="446"/>
      <c r="O12" s="447"/>
      <c r="P12" s="448"/>
      <c r="Q12" s="449"/>
      <c r="R12" s="445"/>
    </row>
    <row r="13">
      <c r="B13" s="446"/>
      <c r="C13" s="447"/>
      <c r="D13" s="448"/>
      <c r="E13" s="449"/>
      <c r="F13" s="445"/>
      <c r="H13" s="442" t="s">
        <v>1258</v>
      </c>
      <c r="I13" s="108" t="s">
        <v>1259</v>
      </c>
      <c r="J13" s="443" t="s">
        <v>1260</v>
      </c>
      <c r="K13" s="444" t="s">
        <v>1261</v>
      </c>
      <c r="L13" s="445" t="s">
        <v>1262</v>
      </c>
      <c r="N13" s="446"/>
      <c r="O13" s="447"/>
      <c r="P13" s="448"/>
      <c r="Q13" s="449"/>
      <c r="R13" s="445"/>
    </row>
    <row r="14">
      <c r="B14" s="446"/>
      <c r="C14" s="447"/>
      <c r="D14" s="448"/>
      <c r="E14" s="449"/>
      <c r="F14" s="445"/>
      <c r="H14" s="442" t="s">
        <v>393</v>
      </c>
      <c r="I14" s="108" t="s">
        <v>1263</v>
      </c>
      <c r="J14" s="450" t="s">
        <v>1264</v>
      </c>
      <c r="K14" s="444" t="s">
        <v>1265</v>
      </c>
      <c r="L14" s="445" t="s">
        <v>1266</v>
      </c>
      <c r="N14" s="446"/>
      <c r="O14" s="447"/>
      <c r="P14" s="448"/>
      <c r="Q14" s="449"/>
      <c r="R14" s="445"/>
    </row>
    <row r="15">
      <c r="B15" s="446"/>
      <c r="C15" s="447"/>
      <c r="D15" s="448"/>
      <c r="E15" s="449"/>
      <c r="F15" s="445"/>
      <c r="H15" s="442" t="s">
        <v>310</v>
      </c>
      <c r="I15" s="108" t="s">
        <v>1267</v>
      </c>
      <c r="J15" s="450" t="s">
        <v>1268</v>
      </c>
      <c r="K15" s="444" t="s">
        <v>1269</v>
      </c>
      <c r="L15" s="445" t="s">
        <v>1270</v>
      </c>
      <c r="N15" s="446"/>
      <c r="O15" s="447"/>
      <c r="P15" s="448"/>
      <c r="Q15" s="449"/>
      <c r="R15" s="445"/>
    </row>
    <row r="16">
      <c r="B16" s="446"/>
      <c r="C16" s="447"/>
      <c r="D16" s="448"/>
      <c r="E16" s="449"/>
      <c r="F16" s="445"/>
      <c r="H16" s="442" t="s">
        <v>439</v>
      </c>
      <c r="I16" s="108" t="s">
        <v>1271</v>
      </c>
      <c r="J16" s="443" t="s">
        <v>1272</v>
      </c>
      <c r="K16" s="449"/>
      <c r="L16" s="445" t="s">
        <v>1273</v>
      </c>
      <c r="N16" s="446"/>
      <c r="O16" s="447"/>
      <c r="P16" s="448"/>
      <c r="Q16" s="449"/>
      <c r="R16" s="445"/>
    </row>
    <row r="17">
      <c r="B17" s="446"/>
      <c r="C17" s="447"/>
      <c r="D17" s="448"/>
      <c r="E17" s="449"/>
      <c r="F17" s="445"/>
      <c r="H17" s="442" t="s">
        <v>1274</v>
      </c>
      <c r="I17" s="108" t="s">
        <v>1275</v>
      </c>
      <c r="J17" s="443" t="s">
        <v>1276</v>
      </c>
      <c r="K17" s="444" t="s">
        <v>257</v>
      </c>
      <c r="L17" s="445" t="s">
        <v>1277</v>
      </c>
      <c r="N17" s="446"/>
      <c r="O17" s="447"/>
      <c r="P17" s="448"/>
      <c r="Q17" s="449"/>
      <c r="R17" s="445"/>
    </row>
    <row r="18">
      <c r="B18" s="446"/>
      <c r="C18" s="447"/>
      <c r="D18" s="448"/>
      <c r="E18" s="449"/>
      <c r="F18" s="445"/>
      <c r="H18" s="442" t="s">
        <v>1278</v>
      </c>
      <c r="I18" s="108" t="s">
        <v>1279</v>
      </c>
      <c r="J18" s="443" t="s">
        <v>1280</v>
      </c>
      <c r="K18" s="444">
        <v>14.0</v>
      </c>
      <c r="L18" s="445" t="s">
        <v>1281</v>
      </c>
      <c r="N18" s="446"/>
      <c r="O18" s="447"/>
      <c r="P18" s="448"/>
      <c r="Q18" s="449"/>
      <c r="R18" s="445"/>
    </row>
    <row r="19">
      <c r="B19" s="446"/>
      <c r="C19" s="447"/>
      <c r="D19" s="448"/>
      <c r="E19" s="449"/>
      <c r="F19" s="445"/>
      <c r="H19" s="442" t="s">
        <v>432</v>
      </c>
      <c r="I19" s="108" t="s">
        <v>1282</v>
      </c>
      <c r="J19" s="450" t="s">
        <v>1283</v>
      </c>
      <c r="K19" s="444" t="s">
        <v>1284</v>
      </c>
      <c r="L19" s="445">
        <v>27.0</v>
      </c>
      <c r="N19" s="446"/>
      <c r="O19" s="447"/>
      <c r="P19" s="448"/>
      <c r="Q19" s="449"/>
      <c r="R19" s="445"/>
    </row>
    <row r="20">
      <c r="B20" s="446"/>
      <c r="C20" s="447"/>
      <c r="D20" s="448"/>
      <c r="E20" s="449"/>
      <c r="F20" s="445"/>
      <c r="H20" s="451" t="s">
        <v>381</v>
      </c>
      <c r="I20" s="108" t="s">
        <v>1282</v>
      </c>
      <c r="J20" s="443" t="s">
        <v>1285</v>
      </c>
      <c r="K20" s="444" t="s">
        <v>1286</v>
      </c>
      <c r="L20" s="445" t="s">
        <v>1287</v>
      </c>
      <c r="N20" s="446"/>
      <c r="O20" s="447"/>
      <c r="P20" s="448"/>
      <c r="Q20" s="449"/>
      <c r="R20" s="445"/>
    </row>
    <row r="21">
      <c r="B21" s="446"/>
      <c r="C21" s="447"/>
      <c r="D21" s="448"/>
      <c r="E21" s="449"/>
      <c r="F21" s="445"/>
      <c r="H21" s="442" t="s">
        <v>445</v>
      </c>
      <c r="I21" s="108" t="s">
        <v>1288</v>
      </c>
      <c r="J21" s="450" t="s">
        <v>1289</v>
      </c>
      <c r="K21" s="444" t="s">
        <v>1290</v>
      </c>
      <c r="L21" s="445" t="s">
        <v>1291</v>
      </c>
      <c r="N21" s="446"/>
      <c r="O21" s="447"/>
      <c r="P21" s="448"/>
      <c r="Q21" s="449"/>
      <c r="R21" s="445"/>
    </row>
    <row r="22">
      <c r="B22" s="446"/>
      <c r="C22" s="447"/>
      <c r="D22" s="448"/>
      <c r="E22" s="449"/>
      <c r="F22" s="445"/>
      <c r="H22" s="446"/>
      <c r="I22" s="447"/>
      <c r="J22" s="448"/>
      <c r="K22" s="449"/>
      <c r="L22" s="445"/>
      <c r="N22" s="446"/>
      <c r="O22" s="447"/>
      <c r="P22" s="448"/>
      <c r="Q22" s="449"/>
      <c r="R22" s="445"/>
    </row>
    <row r="23">
      <c r="B23" s="446"/>
      <c r="C23" s="447"/>
      <c r="D23" s="448"/>
      <c r="E23" s="449"/>
      <c r="F23" s="445"/>
      <c r="H23" s="446"/>
      <c r="I23" s="447"/>
      <c r="J23" s="448"/>
      <c r="K23" s="449"/>
      <c r="L23" s="445"/>
      <c r="N23" s="446"/>
      <c r="O23" s="447"/>
      <c r="P23" s="448"/>
      <c r="Q23" s="449"/>
      <c r="R23" s="445"/>
    </row>
    <row r="24">
      <c r="B24" s="446"/>
      <c r="C24" s="447"/>
      <c r="D24" s="448"/>
      <c r="E24" s="449"/>
      <c r="F24" s="445"/>
      <c r="H24" s="446"/>
      <c r="I24" s="447"/>
      <c r="J24" s="448"/>
      <c r="K24" s="449"/>
      <c r="L24" s="445"/>
      <c r="N24" s="446"/>
      <c r="O24" s="447"/>
      <c r="P24" s="448"/>
      <c r="Q24" s="449"/>
      <c r="R24" s="445"/>
    </row>
    <row r="25">
      <c r="B25" s="446"/>
      <c r="C25" s="447"/>
      <c r="D25" s="448"/>
      <c r="E25" s="449"/>
      <c r="F25" s="445"/>
      <c r="H25" s="446"/>
      <c r="I25" s="447"/>
      <c r="J25" s="448"/>
      <c r="K25" s="449"/>
      <c r="L25" s="445"/>
      <c r="N25" s="446"/>
      <c r="O25" s="447"/>
      <c r="P25" s="448"/>
      <c r="Q25" s="449"/>
      <c r="R25" s="445"/>
    </row>
    <row r="26">
      <c r="B26" s="446"/>
      <c r="C26" s="447"/>
      <c r="D26" s="448"/>
      <c r="E26" s="449"/>
      <c r="F26" s="445"/>
      <c r="H26" s="446"/>
      <c r="I26" s="447"/>
      <c r="J26" s="448"/>
      <c r="K26" s="449"/>
      <c r="L26" s="445"/>
      <c r="N26" s="446"/>
      <c r="O26" s="447"/>
      <c r="P26" s="448"/>
      <c r="Q26" s="449"/>
      <c r="R26" s="445"/>
    </row>
    <row r="27">
      <c r="B27" s="446"/>
      <c r="C27" s="447"/>
      <c r="D27" s="448"/>
      <c r="E27" s="449"/>
      <c r="F27" s="445"/>
      <c r="H27" s="446"/>
      <c r="I27" s="447"/>
      <c r="J27" s="448"/>
      <c r="K27" s="449"/>
      <c r="L27" s="445"/>
      <c r="N27" s="446"/>
      <c r="O27" s="447"/>
      <c r="P27" s="448"/>
      <c r="Q27" s="449"/>
      <c r="R27" s="445"/>
    </row>
    <row r="28">
      <c r="B28" s="446"/>
      <c r="C28" s="447"/>
      <c r="D28" s="448"/>
      <c r="E28" s="449"/>
      <c r="F28" s="445"/>
      <c r="H28" s="446"/>
      <c r="I28" s="447"/>
      <c r="J28" s="448"/>
      <c r="K28" s="449"/>
      <c r="L28" s="445"/>
      <c r="N28" s="446"/>
      <c r="O28" s="447"/>
      <c r="P28" s="448"/>
      <c r="Q28" s="449"/>
      <c r="R28" s="445"/>
    </row>
    <row r="29">
      <c r="B29" s="446"/>
      <c r="C29" s="447"/>
      <c r="D29" s="448"/>
      <c r="E29" s="449"/>
      <c r="F29" s="445"/>
      <c r="H29" s="446"/>
      <c r="I29" s="447"/>
      <c r="J29" s="448"/>
      <c r="K29" s="449"/>
      <c r="L29" s="445"/>
      <c r="N29" s="446"/>
      <c r="O29" s="447"/>
      <c r="P29" s="448"/>
      <c r="Q29" s="449"/>
      <c r="R29" s="445"/>
    </row>
    <row r="30">
      <c r="B30" s="446"/>
      <c r="C30" s="447"/>
      <c r="D30" s="448"/>
      <c r="E30" s="449"/>
      <c r="F30" s="445"/>
      <c r="H30" s="446"/>
      <c r="I30" s="447"/>
      <c r="J30" s="448"/>
      <c r="K30" s="449"/>
      <c r="L30" s="445"/>
      <c r="N30" s="446"/>
      <c r="O30" s="447"/>
      <c r="P30" s="448"/>
      <c r="Q30" s="449"/>
      <c r="R30" s="445"/>
    </row>
    <row r="31">
      <c r="B31" s="446"/>
      <c r="C31" s="447"/>
      <c r="D31" s="448"/>
      <c r="E31" s="449"/>
      <c r="F31" s="445"/>
      <c r="H31" s="446"/>
      <c r="I31" s="447"/>
      <c r="J31" s="448"/>
      <c r="K31" s="449"/>
      <c r="L31" s="445"/>
      <c r="N31" s="446"/>
      <c r="O31" s="447"/>
      <c r="P31" s="448"/>
      <c r="Q31" s="449"/>
      <c r="R31" s="445"/>
    </row>
    <row r="32">
      <c r="B32" s="446"/>
      <c r="C32" s="447"/>
      <c r="D32" s="448"/>
      <c r="E32" s="449"/>
      <c r="F32" s="445"/>
      <c r="H32" s="446"/>
      <c r="I32" s="447"/>
      <c r="J32" s="448"/>
      <c r="K32" s="449"/>
      <c r="L32" s="445"/>
      <c r="N32" s="446"/>
      <c r="O32" s="447"/>
      <c r="P32" s="448"/>
      <c r="Q32" s="449"/>
      <c r="R32" s="445"/>
    </row>
    <row r="33">
      <c r="B33" s="446"/>
      <c r="C33" s="447"/>
      <c r="D33" s="448"/>
      <c r="E33" s="449"/>
      <c r="F33" s="445"/>
      <c r="H33" s="446"/>
      <c r="I33" s="447"/>
      <c r="J33" s="448"/>
      <c r="K33" s="449"/>
      <c r="L33" s="445"/>
      <c r="N33" s="446"/>
      <c r="O33" s="447"/>
      <c r="P33" s="448"/>
      <c r="Q33" s="449"/>
      <c r="R33" s="445"/>
    </row>
    <row r="34">
      <c r="B34" s="446"/>
      <c r="C34" s="447"/>
      <c r="D34" s="448"/>
      <c r="E34" s="449"/>
      <c r="F34" s="445"/>
      <c r="H34" s="446"/>
      <c r="I34" s="447"/>
      <c r="J34" s="448"/>
      <c r="K34" s="449"/>
      <c r="L34" s="445"/>
      <c r="N34" s="446"/>
      <c r="O34" s="447"/>
      <c r="P34" s="448"/>
      <c r="Q34" s="449"/>
      <c r="R34" s="445"/>
    </row>
    <row r="35">
      <c r="B35" s="446"/>
      <c r="C35" s="447"/>
      <c r="D35" s="448"/>
      <c r="E35" s="449"/>
      <c r="F35" s="445"/>
      <c r="H35" s="446"/>
      <c r="I35" s="447"/>
      <c r="J35" s="448"/>
      <c r="K35" s="449"/>
      <c r="L35" s="445"/>
      <c r="N35" s="446"/>
      <c r="O35" s="447"/>
      <c r="P35" s="448"/>
      <c r="Q35" s="449"/>
      <c r="R35" s="445"/>
    </row>
  </sheetData>
  <hyperlinks>
    <hyperlink r:id="rId1" ref="D6"/>
    <hyperlink r:id="rId2" ref="J6"/>
    <hyperlink r:id="rId3" ref="P6"/>
    <hyperlink r:id="rId4" ref="J7"/>
    <hyperlink r:id="rId5" ref="P7"/>
    <hyperlink r:id="rId6" ref="J8"/>
    <hyperlink r:id="rId7" ref="P8"/>
    <hyperlink r:id="rId8" ref="J10"/>
    <hyperlink r:id="rId9" ref="J11"/>
    <hyperlink r:id="rId10" ref="J12"/>
    <hyperlink r:id="rId11" ref="J13"/>
    <hyperlink r:id="rId12" ref="J16"/>
    <hyperlink r:id="rId13" ref="J17"/>
    <hyperlink r:id="rId14" ref="J18"/>
    <hyperlink r:id="rId15" ref="J20"/>
  </hyperlinks>
  <drawing r:id="rId1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52"/>
      <c r="B1" s="453" t="s">
        <v>1292</v>
      </c>
      <c r="C1" s="452"/>
      <c r="D1" s="454" t="s">
        <v>334</v>
      </c>
      <c r="E1" s="339"/>
      <c r="F1" s="428" t="s">
        <v>47</v>
      </c>
      <c r="G1" s="455" t="s">
        <v>1017</v>
      </c>
    </row>
    <row r="2">
      <c r="A2" s="339"/>
      <c r="B2" s="339"/>
      <c r="C2" s="339"/>
      <c r="D2" s="339"/>
      <c r="E2" s="339"/>
      <c r="F2" s="452" t="s">
        <v>674</v>
      </c>
      <c r="G2" s="456" t="s">
        <v>1293</v>
      </c>
    </row>
    <row r="3">
      <c r="A3" s="457" t="s">
        <v>1016</v>
      </c>
      <c r="B3" s="339"/>
      <c r="C3" s="339"/>
      <c r="D3" s="339"/>
      <c r="E3" s="339"/>
      <c r="F3" s="458" t="s">
        <v>22</v>
      </c>
      <c r="G3" s="459" t="s">
        <v>464</v>
      </c>
    </row>
    <row r="4">
      <c r="A4" s="452" t="s">
        <v>1294</v>
      </c>
      <c r="B4" s="453" t="s">
        <v>1295</v>
      </c>
      <c r="C4" s="452"/>
      <c r="D4" s="454" t="s">
        <v>334</v>
      </c>
      <c r="E4" s="339"/>
      <c r="F4" s="460" t="s">
        <v>1296</v>
      </c>
      <c r="G4" s="461" t="s">
        <v>563</v>
      </c>
    </row>
    <row r="5">
      <c r="A5" s="452" t="s">
        <v>1297</v>
      </c>
      <c r="B5" s="462" t="s">
        <v>1298</v>
      </c>
      <c r="C5" s="452"/>
      <c r="D5" s="454" t="s">
        <v>1299</v>
      </c>
      <c r="E5" s="339"/>
      <c r="F5" s="339"/>
      <c r="G5" s="339"/>
    </row>
    <row r="6">
      <c r="A6" s="452" t="s">
        <v>1300</v>
      </c>
      <c r="B6" s="462" t="s">
        <v>1301</v>
      </c>
      <c r="C6" s="452"/>
      <c r="D6" s="453" t="s">
        <v>1302</v>
      </c>
      <c r="E6" s="452"/>
      <c r="F6" s="339"/>
      <c r="G6" s="339"/>
    </row>
    <row r="7">
      <c r="A7" s="452" t="s">
        <v>1229</v>
      </c>
      <c r="B7" s="453" t="s">
        <v>1303</v>
      </c>
      <c r="C7" s="452"/>
      <c r="D7" s="453" t="s">
        <v>1304</v>
      </c>
      <c r="E7" s="452"/>
      <c r="F7" s="339"/>
      <c r="G7" s="339"/>
    </row>
    <row r="8">
      <c r="A8" s="452" t="s">
        <v>1305</v>
      </c>
      <c r="B8" s="453" t="s">
        <v>1306</v>
      </c>
      <c r="C8" s="452"/>
      <c r="D8" s="463" t="s">
        <v>1304</v>
      </c>
      <c r="E8" s="452"/>
      <c r="F8" s="339"/>
      <c r="G8" s="339"/>
    </row>
    <row r="9">
      <c r="A9" s="452" t="s">
        <v>1307</v>
      </c>
      <c r="B9" s="462" t="s">
        <v>1308</v>
      </c>
      <c r="C9" s="452"/>
      <c r="D9" s="463" t="s">
        <v>1304</v>
      </c>
      <c r="E9" s="452"/>
      <c r="F9" s="339"/>
      <c r="G9" s="339"/>
    </row>
    <row r="10">
      <c r="A10" s="456" t="s">
        <v>1309</v>
      </c>
      <c r="B10" s="464" t="s">
        <v>1310</v>
      </c>
      <c r="C10" s="456"/>
      <c r="D10" s="465" t="s">
        <v>1304</v>
      </c>
      <c r="E10" s="456"/>
      <c r="F10" s="339"/>
      <c r="G10" s="339"/>
    </row>
    <row r="11">
      <c r="A11" s="456" t="s">
        <v>1311</v>
      </c>
      <c r="B11" s="464" t="s">
        <v>1312</v>
      </c>
      <c r="C11" s="456"/>
      <c r="D11" s="465" t="s">
        <v>1304</v>
      </c>
      <c r="E11" s="456"/>
      <c r="F11" s="466">
        <v>28.0</v>
      </c>
      <c r="G11" s="339"/>
    </row>
    <row r="12">
      <c r="A12" s="428" t="s">
        <v>1313</v>
      </c>
      <c r="B12" s="467" t="s">
        <v>1314</v>
      </c>
      <c r="C12" s="428"/>
      <c r="D12" s="428" t="s">
        <v>221</v>
      </c>
      <c r="E12" s="339"/>
      <c r="F12" s="339" t="s">
        <v>1315</v>
      </c>
      <c r="G12" s="423">
        <v>55.0</v>
      </c>
    </row>
    <row r="13">
      <c r="A13" s="455" t="s">
        <v>1316</v>
      </c>
      <c r="B13" s="468" t="s">
        <v>1053</v>
      </c>
      <c r="C13" s="455"/>
      <c r="D13" s="469" t="s">
        <v>1054</v>
      </c>
      <c r="E13" s="339"/>
      <c r="F13" s="339"/>
      <c r="G13" s="339"/>
    </row>
    <row r="14">
      <c r="A14" s="455" t="s">
        <v>1317</v>
      </c>
      <c r="B14" s="468" t="s">
        <v>1022</v>
      </c>
      <c r="C14" s="455"/>
      <c r="D14" s="469" t="s">
        <v>1023</v>
      </c>
      <c r="E14" s="455"/>
      <c r="F14" s="339"/>
      <c r="G14" s="339"/>
    </row>
    <row r="15">
      <c r="A15" s="455" t="s">
        <v>1087</v>
      </c>
      <c r="B15" s="468" t="s">
        <v>1088</v>
      </c>
      <c r="C15" s="455"/>
      <c r="D15" s="469" t="s">
        <v>1089</v>
      </c>
      <c r="E15" s="339"/>
      <c r="F15" s="339"/>
      <c r="G15" s="339"/>
    </row>
    <row r="16">
      <c r="A16" s="459" t="s">
        <v>1318</v>
      </c>
      <c r="B16" s="470" t="s">
        <v>1170</v>
      </c>
      <c r="C16" s="459"/>
      <c r="D16" s="471" t="s">
        <v>1171</v>
      </c>
      <c r="E16" s="339"/>
      <c r="F16" s="339"/>
      <c r="G16" s="339"/>
    </row>
    <row r="17">
      <c r="A17" s="459" t="s">
        <v>1319</v>
      </c>
      <c r="B17" s="470" t="s">
        <v>1175</v>
      </c>
      <c r="C17" s="459"/>
      <c r="D17" s="471" t="s">
        <v>1176</v>
      </c>
      <c r="E17" s="339"/>
      <c r="F17" s="339"/>
      <c r="G17" s="339"/>
    </row>
    <row r="18">
      <c r="A18" s="459" t="s">
        <v>1178</v>
      </c>
      <c r="B18" s="470" t="s">
        <v>1179</v>
      </c>
      <c r="C18" s="459"/>
      <c r="D18" s="471" t="s">
        <v>1171</v>
      </c>
      <c r="E18" s="339"/>
      <c r="F18" s="339"/>
      <c r="G18" s="339"/>
    </row>
    <row r="19">
      <c r="A19" s="458" t="s">
        <v>76</v>
      </c>
      <c r="B19" s="472" t="s">
        <v>78</v>
      </c>
      <c r="C19" s="458"/>
      <c r="D19" s="473" t="s">
        <v>79</v>
      </c>
      <c r="E19" s="339"/>
      <c r="F19" s="339"/>
      <c r="G19" s="339"/>
    </row>
    <row r="20">
      <c r="A20" s="458" t="s">
        <v>150</v>
      </c>
      <c r="B20" s="472" t="s">
        <v>151</v>
      </c>
      <c r="C20" s="458"/>
      <c r="D20" s="473" t="s">
        <v>152</v>
      </c>
      <c r="E20" s="339"/>
      <c r="F20" s="339"/>
      <c r="G20" s="339"/>
    </row>
    <row r="21">
      <c r="A21" s="459" t="s">
        <v>1183</v>
      </c>
      <c r="B21" s="470" t="s">
        <v>1184</v>
      </c>
      <c r="C21" s="459"/>
      <c r="D21" s="471" t="s">
        <v>1185</v>
      </c>
      <c r="E21" s="339"/>
      <c r="F21" s="339"/>
      <c r="G21" s="339"/>
    </row>
    <row r="22">
      <c r="A22" s="458" t="s">
        <v>188</v>
      </c>
      <c r="B22" s="472" t="s">
        <v>189</v>
      </c>
      <c r="C22" s="458"/>
      <c r="D22" s="458" t="s">
        <v>152</v>
      </c>
      <c r="E22" s="339"/>
      <c r="F22" s="339"/>
      <c r="G22" s="339"/>
    </row>
    <row r="23">
      <c r="A23" s="458" t="s">
        <v>1320</v>
      </c>
      <c r="B23" s="472" t="s">
        <v>689</v>
      </c>
      <c r="C23" s="458"/>
      <c r="D23" s="473" t="s">
        <v>82</v>
      </c>
      <c r="E23" s="339"/>
      <c r="F23" s="339"/>
      <c r="G23" s="339"/>
    </row>
    <row r="24">
      <c r="A24" s="458" t="s">
        <v>1321</v>
      </c>
      <c r="B24" s="472" t="s">
        <v>732</v>
      </c>
      <c r="C24" s="458"/>
      <c r="D24" s="473" t="s">
        <v>334</v>
      </c>
      <c r="E24" s="339"/>
      <c r="F24" s="339"/>
      <c r="G24" s="339"/>
    </row>
    <row r="25">
      <c r="A25" s="452" t="s">
        <v>1322</v>
      </c>
      <c r="B25" s="453" t="s">
        <v>675</v>
      </c>
      <c r="C25" s="452"/>
      <c r="D25" s="454" t="s">
        <v>595</v>
      </c>
      <c r="E25" s="339"/>
      <c r="F25" s="339"/>
      <c r="G25" s="339"/>
    </row>
    <row r="26">
      <c r="A26" s="452" t="s">
        <v>1323</v>
      </c>
      <c r="B26" s="462" t="s">
        <v>687</v>
      </c>
      <c r="C26" s="452"/>
      <c r="D26" s="454" t="s">
        <v>595</v>
      </c>
      <c r="E26" s="339"/>
      <c r="F26" s="339"/>
      <c r="G26" s="339"/>
    </row>
    <row r="27">
      <c r="A27" s="452" t="s">
        <v>1324</v>
      </c>
      <c r="B27" s="462" t="s">
        <v>678</v>
      </c>
      <c r="C27" s="452"/>
      <c r="D27" s="454" t="s">
        <v>595</v>
      </c>
      <c r="E27" s="339"/>
      <c r="F27" s="339"/>
      <c r="G27" s="339"/>
    </row>
    <row r="28">
      <c r="A28" s="452" t="s">
        <v>1325</v>
      </c>
      <c r="B28" s="453" t="s">
        <v>792</v>
      </c>
      <c r="C28" s="452"/>
      <c r="D28" s="454" t="s">
        <v>595</v>
      </c>
      <c r="E28" s="339"/>
      <c r="F28" s="339"/>
      <c r="G28" s="339"/>
    </row>
    <row r="29">
      <c r="A29" s="452" t="s">
        <v>1326</v>
      </c>
      <c r="B29" s="462" t="s">
        <v>763</v>
      </c>
      <c r="C29" s="452"/>
      <c r="D29" s="454" t="s">
        <v>595</v>
      </c>
      <c r="E29" s="339"/>
      <c r="F29" s="339"/>
      <c r="G29" s="339"/>
    </row>
    <row r="30">
      <c r="A30" s="452" t="s">
        <v>1327</v>
      </c>
      <c r="B30" s="462" t="s">
        <v>736</v>
      </c>
      <c r="C30" s="452"/>
      <c r="D30" s="454" t="s">
        <v>595</v>
      </c>
      <c r="E30" s="339"/>
      <c r="F30" s="339"/>
      <c r="G30" s="339"/>
    </row>
    <row r="31">
      <c r="A31" s="452" t="s">
        <v>1328</v>
      </c>
      <c r="B31" s="462" t="s">
        <v>811</v>
      </c>
      <c r="C31" s="452"/>
      <c r="D31" s="454" t="s">
        <v>595</v>
      </c>
      <c r="E31" s="339"/>
      <c r="F31" s="339"/>
      <c r="G31" s="339"/>
    </row>
    <row r="32">
      <c r="A32" s="460" t="s">
        <v>480</v>
      </c>
      <c r="B32" s="474" t="s">
        <v>333</v>
      </c>
      <c r="C32" s="460"/>
      <c r="D32" s="475" t="s">
        <v>334</v>
      </c>
      <c r="E32" s="339"/>
      <c r="F32" s="339"/>
      <c r="G32" s="339"/>
    </row>
    <row r="33">
      <c r="A33" s="475"/>
      <c r="B33" s="475" t="s">
        <v>1329</v>
      </c>
      <c r="C33" s="460"/>
      <c r="D33" s="475" t="s">
        <v>1330</v>
      </c>
      <c r="E33" s="339" t="s">
        <v>1331</v>
      </c>
      <c r="F33" s="339"/>
      <c r="G33" s="339"/>
    </row>
    <row r="34">
      <c r="A34" s="475"/>
      <c r="B34" s="475"/>
      <c r="C34" s="460"/>
      <c r="D34" s="460"/>
      <c r="E34" s="339"/>
      <c r="F34" s="339"/>
      <c r="G34" s="339"/>
    </row>
    <row r="35">
      <c r="A35" s="475"/>
      <c r="B35" s="475"/>
      <c r="C35" s="460"/>
      <c r="D35" s="460"/>
      <c r="E35" s="339"/>
      <c r="F35" s="339"/>
      <c r="G35" s="339"/>
    </row>
    <row r="36">
      <c r="A36" s="475"/>
      <c r="B36" s="475"/>
      <c r="C36" s="460"/>
      <c r="D36" s="460"/>
      <c r="E36" s="339"/>
      <c r="F36" s="339"/>
      <c r="G36" s="339"/>
    </row>
    <row r="37">
      <c r="A37" s="461" t="s">
        <v>949</v>
      </c>
      <c r="B37" s="476" t="s">
        <v>950</v>
      </c>
      <c r="C37" s="461"/>
      <c r="D37" s="477">
        <v>42838.0</v>
      </c>
      <c r="E37" s="461" t="s">
        <v>1332</v>
      </c>
      <c r="F37" s="339"/>
      <c r="G37" s="339"/>
    </row>
    <row r="38">
      <c r="A38" s="461" t="s">
        <v>952</v>
      </c>
      <c r="B38" s="476" t="s">
        <v>953</v>
      </c>
      <c r="C38" s="461"/>
      <c r="D38" s="477">
        <v>42838.0</v>
      </c>
      <c r="E38" s="461" t="s">
        <v>1333</v>
      </c>
      <c r="F38" s="339"/>
      <c r="G38" s="339"/>
    </row>
    <row r="39">
      <c r="A39" s="461" t="s">
        <v>954</v>
      </c>
      <c r="B39" s="476" t="s">
        <v>955</v>
      </c>
      <c r="C39" s="461"/>
      <c r="D39" s="478">
        <v>42838.0</v>
      </c>
      <c r="E39" s="461" t="s">
        <v>1334</v>
      </c>
      <c r="F39" s="339"/>
      <c r="G39" s="339"/>
    </row>
    <row r="40">
      <c r="A40" s="461" t="s">
        <v>1335</v>
      </c>
      <c r="B40" s="476" t="s">
        <v>958</v>
      </c>
      <c r="C40" s="461"/>
      <c r="D40" s="478">
        <v>42838.0</v>
      </c>
      <c r="E40" s="461" t="s">
        <v>1336</v>
      </c>
      <c r="F40" s="339"/>
      <c r="G40" s="339"/>
    </row>
    <row r="41">
      <c r="A41" s="461" t="s">
        <v>1337</v>
      </c>
      <c r="B41" s="476" t="s">
        <v>960</v>
      </c>
      <c r="C41" s="461"/>
      <c r="D41" s="477">
        <v>42838.0</v>
      </c>
      <c r="E41" s="461" t="s">
        <v>1338</v>
      </c>
      <c r="F41" s="339"/>
      <c r="G41" s="339"/>
    </row>
    <row r="42">
      <c r="A42" s="461" t="s">
        <v>1339</v>
      </c>
      <c r="B42" s="476" t="s">
        <v>963</v>
      </c>
      <c r="C42" s="461"/>
      <c r="D42" s="477">
        <v>42838.0</v>
      </c>
      <c r="E42" s="461" t="s">
        <v>1340</v>
      </c>
      <c r="F42" s="339" t="s">
        <v>1341</v>
      </c>
      <c r="G42" s="339"/>
    </row>
    <row r="43">
      <c r="A43" s="461" t="s">
        <v>1342</v>
      </c>
      <c r="B43" s="476" t="s">
        <v>965</v>
      </c>
      <c r="C43" s="461"/>
      <c r="D43" s="478">
        <v>42838.0</v>
      </c>
      <c r="E43" s="479" t="s">
        <v>1343</v>
      </c>
      <c r="F43" s="461"/>
      <c r="G43" s="339" t="s">
        <v>1341</v>
      </c>
    </row>
    <row r="44">
      <c r="A44" s="461" t="s">
        <v>1344</v>
      </c>
      <c r="B44" s="479" t="s">
        <v>967</v>
      </c>
      <c r="C44" s="461"/>
      <c r="D44" s="478">
        <v>42838.0</v>
      </c>
      <c r="E44" s="461" t="s">
        <v>1334</v>
      </c>
      <c r="F44" s="339"/>
      <c r="G44" s="339"/>
    </row>
    <row r="45">
      <c r="A45" s="461" t="s">
        <v>1345</v>
      </c>
      <c r="B45" s="476" t="s">
        <v>971</v>
      </c>
      <c r="C45" s="461"/>
      <c r="D45" s="477">
        <v>42838.0</v>
      </c>
      <c r="E45" s="461" t="s">
        <v>1334</v>
      </c>
      <c r="F45" s="339"/>
      <c r="G45" s="339"/>
    </row>
    <row r="46">
      <c r="A46" s="461" t="s">
        <v>973</v>
      </c>
      <c r="B46" s="476" t="s">
        <v>1346</v>
      </c>
      <c r="C46" s="461"/>
      <c r="D46" s="480" t="s">
        <v>975</v>
      </c>
      <c r="E46" s="461" t="s">
        <v>1334</v>
      </c>
      <c r="F46" s="339"/>
      <c r="G46" s="339"/>
    </row>
    <row r="47">
      <c r="A47" s="461" t="s">
        <v>1347</v>
      </c>
      <c r="B47" s="476" t="s">
        <v>1348</v>
      </c>
      <c r="C47" s="461"/>
      <c r="D47" s="481">
        <v>8.5418541E7</v>
      </c>
      <c r="E47" s="461" t="s">
        <v>1334</v>
      </c>
      <c r="F47" s="339"/>
      <c r="G47" s="339"/>
    </row>
    <row r="48">
      <c r="A48" s="458" t="s">
        <v>1349</v>
      </c>
      <c r="B48" s="482" t="s">
        <v>136</v>
      </c>
      <c r="C48" s="458"/>
      <c r="D48" s="483" t="s">
        <v>1350</v>
      </c>
      <c r="E48" s="339"/>
      <c r="F48" s="339"/>
      <c r="G48" s="339"/>
    </row>
    <row r="49">
      <c r="A49" s="458" t="s">
        <v>1351</v>
      </c>
      <c r="B49" s="482" t="s">
        <v>162</v>
      </c>
      <c r="C49" s="458"/>
      <c r="D49" s="483" t="s">
        <v>163</v>
      </c>
      <c r="E49" s="339"/>
      <c r="F49" s="339"/>
      <c r="G49" s="33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14.88"/>
    <col customWidth="1" min="14" max="14" width="17.5"/>
    <col customWidth="1" min="15" max="15" width="13.5"/>
  </cols>
  <sheetData>
    <row r="2">
      <c r="A2" s="46" t="s">
        <v>1352</v>
      </c>
      <c r="B2" s="46" t="s">
        <v>1353</v>
      </c>
    </row>
    <row r="3">
      <c r="B3" s="46" t="s">
        <v>1354</v>
      </c>
    </row>
    <row r="4">
      <c r="B4" s="46" t="s">
        <v>1355</v>
      </c>
      <c r="C4" s="484" t="s">
        <v>1356</v>
      </c>
    </row>
    <row r="5">
      <c r="B5" s="46" t="s">
        <v>1357</v>
      </c>
    </row>
    <row r="6">
      <c r="B6" s="330" t="s">
        <v>473</v>
      </c>
      <c r="C6" s="81" t="s">
        <v>290</v>
      </c>
      <c r="D6" s="82" t="s">
        <v>2</v>
      </c>
      <c r="E6" s="83"/>
      <c r="F6" s="84" t="s">
        <v>3</v>
      </c>
      <c r="G6" s="85" t="s">
        <v>242</v>
      </c>
      <c r="H6" s="86" t="s">
        <v>291</v>
      </c>
      <c r="I6" s="32" t="s">
        <v>243</v>
      </c>
      <c r="K6" s="330" t="s">
        <v>473</v>
      </c>
      <c r="L6" s="81" t="s">
        <v>290</v>
      </c>
      <c r="M6" s="82" t="s">
        <v>2</v>
      </c>
      <c r="N6" s="101"/>
      <c r="O6" s="84" t="s">
        <v>3</v>
      </c>
      <c r="P6" s="85" t="s">
        <v>242</v>
      </c>
      <c r="Q6" s="86" t="s">
        <v>291</v>
      </c>
      <c r="R6" s="32" t="s">
        <v>243</v>
      </c>
    </row>
    <row r="7">
      <c r="B7" s="485" t="s">
        <v>1358</v>
      </c>
      <c r="C7" s="108" t="s">
        <v>1359</v>
      </c>
      <c r="D7" s="486" t="s">
        <v>1360</v>
      </c>
      <c r="E7" s="83"/>
      <c r="F7" s="442" t="s">
        <v>1361</v>
      </c>
      <c r="G7" s="444" t="s">
        <v>1362</v>
      </c>
      <c r="H7" s="487">
        <v>15.0</v>
      </c>
      <c r="I7" s="488"/>
      <c r="K7" s="489"/>
      <c r="L7" s="108" t="s">
        <v>657</v>
      </c>
      <c r="M7" s="486" t="s">
        <v>658</v>
      </c>
      <c r="N7" s="101"/>
      <c r="O7" s="442" t="s">
        <v>659</v>
      </c>
      <c r="P7" s="449"/>
      <c r="Q7" s="490"/>
      <c r="R7" s="488"/>
    </row>
    <row r="8">
      <c r="B8" s="485"/>
      <c r="C8" s="108"/>
      <c r="D8" s="486"/>
      <c r="E8" s="83"/>
      <c r="F8" s="442"/>
      <c r="G8" s="444"/>
      <c r="H8" s="490"/>
      <c r="I8" s="488"/>
      <c r="K8" s="489"/>
      <c r="L8" s="108" t="s">
        <v>1363</v>
      </c>
      <c r="M8" s="486" t="s">
        <v>1364</v>
      </c>
      <c r="N8" s="101"/>
      <c r="O8" s="442" t="s">
        <v>1365</v>
      </c>
      <c r="P8" s="449"/>
      <c r="Q8" s="490"/>
      <c r="R8" s="488"/>
    </row>
    <row r="9">
      <c r="B9" s="485" t="s">
        <v>1366</v>
      </c>
      <c r="C9" s="108" t="s">
        <v>1367</v>
      </c>
      <c r="D9" s="486" t="s">
        <v>1368</v>
      </c>
      <c r="E9" s="83"/>
      <c r="F9" s="442" t="s">
        <v>1369</v>
      </c>
      <c r="G9" s="449"/>
      <c r="H9" s="490"/>
      <c r="I9" s="488"/>
      <c r="K9" s="489"/>
      <c r="L9" s="108" t="s">
        <v>1370</v>
      </c>
      <c r="M9" s="486" t="s">
        <v>1371</v>
      </c>
      <c r="N9" s="101"/>
      <c r="O9" s="442" t="s">
        <v>1372</v>
      </c>
      <c r="P9" s="444" t="s">
        <v>1373</v>
      </c>
      <c r="Q9" s="490"/>
      <c r="R9" s="488"/>
    </row>
    <row r="10">
      <c r="B10" s="489"/>
      <c r="C10" s="108" t="s">
        <v>1374</v>
      </c>
      <c r="D10" s="486" t="s">
        <v>1375</v>
      </c>
      <c r="E10" s="101"/>
      <c r="F10" s="442" t="s">
        <v>1376</v>
      </c>
      <c r="G10" s="449"/>
      <c r="H10" s="490"/>
      <c r="I10" s="491" t="s">
        <v>1377</v>
      </c>
      <c r="K10" s="489"/>
      <c r="L10" s="108" t="s">
        <v>1378</v>
      </c>
      <c r="M10" s="486" t="s">
        <v>1379</v>
      </c>
      <c r="N10" s="101"/>
      <c r="O10" s="442" t="s">
        <v>1380</v>
      </c>
      <c r="P10" s="449"/>
      <c r="Q10" s="490"/>
      <c r="R10" s="491" t="s">
        <v>1381</v>
      </c>
      <c r="S10" s="46" t="s">
        <v>1382</v>
      </c>
    </row>
    <row r="11">
      <c r="B11" s="489"/>
      <c r="C11" s="108" t="s">
        <v>1383</v>
      </c>
      <c r="D11" s="486" t="s">
        <v>1384</v>
      </c>
      <c r="E11" s="101"/>
      <c r="F11" s="444" t="s">
        <v>664</v>
      </c>
      <c r="G11" s="444"/>
      <c r="H11" s="490"/>
      <c r="I11" s="488"/>
      <c r="K11" s="489"/>
      <c r="L11" s="108" t="s">
        <v>1385</v>
      </c>
      <c r="M11" s="486" t="s">
        <v>1386</v>
      </c>
      <c r="N11" s="492"/>
      <c r="O11" s="442" t="s">
        <v>1387</v>
      </c>
      <c r="P11" s="449"/>
      <c r="Q11" s="490"/>
      <c r="R11" s="491" t="s">
        <v>1388</v>
      </c>
      <c r="S11" s="46" t="s">
        <v>1382</v>
      </c>
    </row>
    <row r="12">
      <c r="B12" s="489"/>
      <c r="C12" s="108" t="s">
        <v>1389</v>
      </c>
      <c r="D12" s="486" t="s">
        <v>1390</v>
      </c>
      <c r="E12" s="101"/>
      <c r="F12" s="442" t="s">
        <v>1391</v>
      </c>
      <c r="G12" s="449"/>
      <c r="H12" s="490"/>
      <c r="I12" s="491" t="s">
        <v>258</v>
      </c>
      <c r="K12" s="489"/>
      <c r="L12" s="108" t="s">
        <v>1392</v>
      </c>
      <c r="M12" s="486" t="s">
        <v>1393</v>
      </c>
      <c r="N12" s="492"/>
      <c r="O12" s="442" t="s">
        <v>1394</v>
      </c>
      <c r="P12" s="444" t="s">
        <v>1395</v>
      </c>
      <c r="Q12" s="490"/>
      <c r="R12" s="491">
        <v>2.0</v>
      </c>
      <c r="S12" s="46" t="s">
        <v>1382</v>
      </c>
    </row>
    <row r="13">
      <c r="B13" s="489"/>
      <c r="C13" s="108"/>
      <c r="D13" s="493"/>
      <c r="E13" s="83"/>
      <c r="F13" s="446"/>
      <c r="G13" s="449"/>
      <c r="H13" s="490"/>
      <c r="I13" s="488"/>
      <c r="K13" s="489"/>
      <c r="L13" s="108" t="s">
        <v>1396</v>
      </c>
      <c r="M13" s="486" t="s">
        <v>1397</v>
      </c>
      <c r="N13" s="101"/>
      <c r="O13" s="442" t="s">
        <v>1398</v>
      </c>
      <c r="P13" s="449"/>
      <c r="Q13" s="490"/>
      <c r="R13" s="491">
        <v>40.0</v>
      </c>
      <c r="S13" s="46" t="s">
        <v>1382</v>
      </c>
    </row>
    <row r="14">
      <c r="B14" s="485" t="s">
        <v>156</v>
      </c>
      <c r="C14" s="108" t="s">
        <v>1399</v>
      </c>
      <c r="D14" s="486" t="s">
        <v>1400</v>
      </c>
      <c r="E14" s="83"/>
      <c r="F14" s="442" t="s">
        <v>1380</v>
      </c>
      <c r="G14" s="449"/>
      <c r="H14" s="490"/>
      <c r="I14" s="488"/>
      <c r="K14" s="494"/>
      <c r="L14" s="108" t="s">
        <v>1401</v>
      </c>
      <c r="M14" s="486" t="s">
        <v>1402</v>
      </c>
      <c r="N14" s="101"/>
      <c r="O14" s="442" t="s">
        <v>1403</v>
      </c>
      <c r="P14" s="449"/>
      <c r="Q14" s="490"/>
      <c r="R14" s="488"/>
      <c r="S14" s="46"/>
    </row>
    <row r="15">
      <c r="B15" s="489"/>
      <c r="C15" s="108" t="s">
        <v>657</v>
      </c>
      <c r="D15" s="486" t="s">
        <v>658</v>
      </c>
      <c r="E15" s="83"/>
      <c r="F15" s="442" t="s">
        <v>659</v>
      </c>
      <c r="G15" s="444" t="s">
        <v>1404</v>
      </c>
      <c r="H15" s="490"/>
      <c r="I15" s="491" t="s">
        <v>1405</v>
      </c>
      <c r="K15" s="489"/>
      <c r="L15" s="108" t="s">
        <v>1406</v>
      </c>
      <c r="M15" s="486" t="s">
        <v>1407</v>
      </c>
      <c r="N15" s="101"/>
      <c r="O15" s="442" t="s">
        <v>58</v>
      </c>
      <c r="P15" s="449"/>
      <c r="Q15" s="490"/>
      <c r="R15" s="491">
        <v>30.0</v>
      </c>
      <c r="S15" s="46" t="s">
        <v>1382</v>
      </c>
    </row>
    <row r="16">
      <c r="B16" s="489"/>
      <c r="C16" s="108" t="s">
        <v>1408</v>
      </c>
      <c r="D16" s="486" t="s">
        <v>1409</v>
      </c>
      <c r="E16" s="83"/>
      <c r="F16" s="442" t="s">
        <v>1410</v>
      </c>
      <c r="G16" s="449"/>
      <c r="H16" s="490"/>
      <c r="I16" s="491" t="s">
        <v>258</v>
      </c>
      <c r="K16" s="489"/>
      <c r="L16" s="108" t="s">
        <v>56</v>
      </c>
      <c r="M16" s="486" t="s">
        <v>57</v>
      </c>
      <c r="N16" s="492"/>
      <c r="O16" s="442" t="s">
        <v>1411</v>
      </c>
      <c r="P16" s="444" t="s">
        <v>58</v>
      </c>
      <c r="Q16" s="490"/>
      <c r="R16" s="491">
        <v>2.0</v>
      </c>
      <c r="S16" s="46" t="s">
        <v>1382</v>
      </c>
    </row>
    <row r="17">
      <c r="B17" s="489"/>
      <c r="C17" s="108" t="s">
        <v>1412</v>
      </c>
      <c r="D17" s="486" t="s">
        <v>661</v>
      </c>
      <c r="E17" s="83"/>
      <c r="F17" s="442">
        <v>2.046748E7</v>
      </c>
      <c r="G17" s="449"/>
      <c r="H17" s="490"/>
      <c r="I17" s="491" t="s">
        <v>1405</v>
      </c>
      <c r="K17" s="489"/>
      <c r="L17" s="108" t="s">
        <v>1413</v>
      </c>
      <c r="M17" s="486" t="s">
        <v>1364</v>
      </c>
      <c r="N17" s="101"/>
      <c r="O17" s="442" t="s">
        <v>1365</v>
      </c>
      <c r="P17" s="449"/>
      <c r="Q17" s="490"/>
      <c r="R17" s="491">
        <v>2.0</v>
      </c>
      <c r="S17" s="46" t="s">
        <v>1382</v>
      </c>
    </row>
    <row r="18">
      <c r="B18" s="489"/>
      <c r="C18" s="447"/>
      <c r="D18" s="493"/>
      <c r="E18" s="83"/>
      <c r="F18" s="446"/>
      <c r="G18" s="449"/>
      <c r="H18" s="490"/>
      <c r="I18" s="488"/>
      <c r="K18" s="489"/>
      <c r="L18" s="447"/>
      <c r="M18" s="493"/>
      <c r="N18" s="101"/>
      <c r="O18" s="446"/>
      <c r="P18" s="449"/>
      <c r="Q18" s="490"/>
      <c r="R18" s="488"/>
    </row>
    <row r="19">
      <c r="B19" s="485" t="s">
        <v>1414</v>
      </c>
      <c r="C19" s="108" t="s">
        <v>1415</v>
      </c>
      <c r="D19" s="486" t="s">
        <v>1416</v>
      </c>
      <c r="E19" s="83"/>
      <c r="F19" s="442" t="s">
        <v>1417</v>
      </c>
      <c r="G19" s="444" t="s">
        <v>1418</v>
      </c>
      <c r="H19" s="490"/>
      <c r="I19" s="491" t="s">
        <v>1419</v>
      </c>
      <c r="K19" s="485" t="s">
        <v>1420</v>
      </c>
      <c r="L19" s="108" t="s">
        <v>1421</v>
      </c>
      <c r="M19" s="486" t="s">
        <v>1422</v>
      </c>
      <c r="N19" s="101"/>
      <c r="O19" s="442" t="s">
        <v>1423</v>
      </c>
      <c r="P19" s="444"/>
      <c r="Q19" s="490"/>
      <c r="R19" s="488"/>
      <c r="S19" s="46" t="s">
        <v>1382</v>
      </c>
    </row>
    <row r="20">
      <c r="B20" s="489"/>
      <c r="C20" s="108" t="s">
        <v>1424</v>
      </c>
      <c r="D20" s="486" t="s">
        <v>1425</v>
      </c>
      <c r="E20" s="83"/>
      <c r="F20" s="442">
        <v>102905.0</v>
      </c>
      <c r="G20" s="449"/>
      <c r="H20" s="490"/>
      <c r="I20" s="491" t="s">
        <v>1419</v>
      </c>
      <c r="K20" s="485" t="s">
        <v>1426</v>
      </c>
      <c r="L20" s="108" t="s">
        <v>1426</v>
      </c>
      <c r="M20" s="486" t="s">
        <v>60</v>
      </c>
      <c r="N20" s="492"/>
      <c r="O20" s="442" t="s">
        <v>1427</v>
      </c>
      <c r="P20" s="449"/>
      <c r="Q20" s="490"/>
      <c r="R20" s="488"/>
      <c r="S20" s="46" t="s">
        <v>1382</v>
      </c>
    </row>
    <row r="21">
      <c r="B21" s="489"/>
      <c r="C21" s="447"/>
      <c r="D21" s="493"/>
      <c r="E21" s="83"/>
      <c r="F21" s="446"/>
      <c r="G21" s="449"/>
      <c r="H21" s="490"/>
      <c r="I21" s="488"/>
      <c r="K21" s="489"/>
      <c r="L21" s="447"/>
      <c r="M21" s="493"/>
      <c r="N21" s="101"/>
      <c r="O21" s="446"/>
      <c r="P21" s="449"/>
      <c r="Q21" s="490"/>
      <c r="R21" s="488"/>
    </row>
    <row r="22">
      <c r="B22" s="485" t="s">
        <v>47</v>
      </c>
      <c r="C22" s="108" t="s">
        <v>1428</v>
      </c>
      <c r="D22" s="486" t="s">
        <v>1429</v>
      </c>
      <c r="E22" s="83"/>
      <c r="F22" s="442" t="s">
        <v>1430</v>
      </c>
      <c r="G22" s="449"/>
      <c r="H22" s="490"/>
      <c r="I22" s="488"/>
      <c r="K22" s="489"/>
      <c r="L22" s="108" t="s">
        <v>1431</v>
      </c>
      <c r="M22" s="486" t="s">
        <v>1432</v>
      </c>
      <c r="N22" s="101"/>
      <c r="O22" s="442" t="s">
        <v>664</v>
      </c>
      <c r="P22" s="449"/>
      <c r="Q22" s="490"/>
      <c r="R22" s="488"/>
    </row>
    <row r="23">
      <c r="B23" s="489"/>
      <c r="C23" s="108" t="s">
        <v>1433</v>
      </c>
      <c r="D23" s="486" t="s">
        <v>1434</v>
      </c>
      <c r="E23" s="83"/>
      <c r="F23" s="442" t="s">
        <v>1435</v>
      </c>
      <c r="G23" s="449"/>
      <c r="H23" s="490"/>
      <c r="I23" s="495"/>
      <c r="K23" s="489"/>
      <c r="L23" s="108" t="s">
        <v>1436</v>
      </c>
      <c r="M23" s="486" t="s">
        <v>1437</v>
      </c>
      <c r="N23" s="101"/>
      <c r="O23" s="442" t="s">
        <v>1438</v>
      </c>
      <c r="P23" s="449"/>
      <c r="Q23" s="490"/>
      <c r="R23" s="491">
        <v>62.0</v>
      </c>
      <c r="S23" s="46" t="s">
        <v>1382</v>
      </c>
    </row>
    <row r="24">
      <c r="B24" s="489"/>
      <c r="C24" s="447"/>
      <c r="D24" s="493"/>
      <c r="E24" s="83"/>
      <c r="F24" s="446"/>
      <c r="G24" s="449"/>
      <c r="H24" s="490"/>
      <c r="I24" s="488"/>
      <c r="K24" s="489"/>
      <c r="L24" s="108" t="s">
        <v>1439</v>
      </c>
      <c r="M24" s="486" t="s">
        <v>1440</v>
      </c>
      <c r="N24" s="101"/>
      <c r="O24" s="442" t="s">
        <v>664</v>
      </c>
      <c r="P24" s="449"/>
      <c r="Q24" s="490"/>
      <c r="R24" s="491">
        <v>60.0</v>
      </c>
      <c r="S24" s="46" t="s">
        <v>1382</v>
      </c>
    </row>
    <row r="25">
      <c r="B25" s="485" t="s">
        <v>1441</v>
      </c>
      <c r="C25" s="108" t="s">
        <v>1442</v>
      </c>
      <c r="D25" s="486" t="s">
        <v>1443</v>
      </c>
      <c r="E25" s="83"/>
      <c r="F25" s="442" t="s">
        <v>1444</v>
      </c>
      <c r="G25" s="444" t="s">
        <v>1442</v>
      </c>
      <c r="H25" s="490"/>
      <c r="I25" s="491" t="s">
        <v>1445</v>
      </c>
      <c r="K25" s="489"/>
      <c r="L25" s="108" t="s">
        <v>1446</v>
      </c>
      <c r="M25" s="486" t="s">
        <v>1447</v>
      </c>
      <c r="N25" s="101"/>
      <c r="O25" s="442" t="s">
        <v>664</v>
      </c>
      <c r="P25" s="449"/>
      <c r="Q25" s="490"/>
      <c r="R25" s="491">
        <v>2.0</v>
      </c>
      <c r="S25" s="46" t="s">
        <v>1382</v>
      </c>
    </row>
    <row r="26">
      <c r="B26" s="489"/>
      <c r="C26" s="108" t="s">
        <v>1448</v>
      </c>
      <c r="D26" s="486" t="s">
        <v>1449</v>
      </c>
      <c r="E26" s="83"/>
      <c r="F26" s="442" t="s">
        <v>1450</v>
      </c>
      <c r="G26" s="444" t="s">
        <v>1411</v>
      </c>
      <c r="H26" s="490"/>
      <c r="I26" s="491" t="s">
        <v>1419</v>
      </c>
      <c r="K26" s="494"/>
      <c r="L26" s="447"/>
      <c r="M26" s="486" t="s">
        <v>1451</v>
      </c>
      <c r="N26" s="101"/>
      <c r="O26" s="442" t="s">
        <v>664</v>
      </c>
      <c r="P26" s="449"/>
      <c r="Q26" s="490"/>
      <c r="R26" s="488"/>
    </row>
    <row r="27">
      <c r="B27" s="489"/>
      <c r="C27" s="108" t="s">
        <v>1436</v>
      </c>
      <c r="D27" s="486" t="s">
        <v>1452</v>
      </c>
      <c r="E27" s="83"/>
      <c r="F27" s="442" t="s">
        <v>1438</v>
      </c>
      <c r="G27" s="449"/>
      <c r="H27" s="490"/>
      <c r="I27" s="491" t="s">
        <v>1419</v>
      </c>
      <c r="K27" s="489"/>
      <c r="L27" s="108" t="s">
        <v>662</v>
      </c>
      <c r="M27" s="486" t="s">
        <v>663</v>
      </c>
      <c r="N27" s="101"/>
      <c r="O27" s="442" t="s">
        <v>664</v>
      </c>
      <c r="P27" s="449"/>
      <c r="Q27" s="490"/>
      <c r="R27" s="488"/>
      <c r="S27" s="46" t="s">
        <v>1382</v>
      </c>
    </row>
    <row r="28">
      <c r="B28" s="489"/>
      <c r="C28" s="447"/>
      <c r="D28" s="493"/>
      <c r="E28" s="83"/>
      <c r="F28" s="446"/>
      <c r="G28" s="449"/>
      <c r="H28" s="490"/>
      <c r="I28" s="488"/>
      <c r="K28" s="489"/>
      <c r="L28" s="447"/>
      <c r="M28" s="493"/>
      <c r="N28" s="101"/>
      <c r="O28" s="446"/>
      <c r="P28" s="449"/>
      <c r="Q28" s="490"/>
      <c r="R28" s="488"/>
    </row>
    <row r="29">
      <c r="B29" s="485" t="s">
        <v>1453</v>
      </c>
      <c r="C29" s="108" t="s">
        <v>1454</v>
      </c>
      <c r="D29" s="486" t="s">
        <v>1455</v>
      </c>
      <c r="E29" s="83"/>
      <c r="F29" s="442" t="s">
        <v>1456</v>
      </c>
      <c r="G29" s="449"/>
      <c r="H29" s="490"/>
      <c r="I29" s="495"/>
      <c r="K29" s="489"/>
      <c r="L29" s="447"/>
      <c r="M29" s="493"/>
      <c r="N29" s="492"/>
      <c r="O29" s="446"/>
      <c r="P29" s="449"/>
      <c r="Q29" s="490"/>
      <c r="R29" s="488"/>
    </row>
    <row r="30">
      <c r="B30" s="489"/>
      <c r="C30" s="108" t="s">
        <v>1457</v>
      </c>
      <c r="D30" s="486" t="s">
        <v>1458</v>
      </c>
      <c r="E30" s="83"/>
      <c r="F30" s="442" t="s">
        <v>1459</v>
      </c>
      <c r="G30" s="449"/>
      <c r="H30" s="490"/>
      <c r="I30" s="488"/>
      <c r="J30" s="46">
        <v>62.0</v>
      </c>
      <c r="K30" s="489"/>
      <c r="L30" s="447"/>
      <c r="M30" s="486" t="s">
        <v>1460</v>
      </c>
      <c r="N30" s="492"/>
      <c r="O30" s="446"/>
      <c r="P30" s="449"/>
      <c r="Q30" s="490"/>
      <c r="R30" s="488"/>
    </row>
    <row r="31">
      <c r="B31" s="489"/>
      <c r="C31" s="447"/>
      <c r="D31" s="493"/>
      <c r="E31" s="83"/>
      <c r="F31" s="446"/>
      <c r="G31" s="449"/>
      <c r="H31" s="490"/>
      <c r="I31" s="488"/>
      <c r="K31" s="489"/>
      <c r="L31" s="447"/>
      <c r="M31" s="493"/>
      <c r="N31" s="101"/>
      <c r="O31" s="446"/>
      <c r="P31" s="449"/>
      <c r="Q31" s="490"/>
      <c r="R31" s="488"/>
    </row>
    <row r="32">
      <c r="B32" s="485" t="s">
        <v>15</v>
      </c>
      <c r="C32" s="108" t="s">
        <v>1461</v>
      </c>
      <c r="D32" s="486" t="s">
        <v>1462</v>
      </c>
      <c r="E32" s="83"/>
      <c r="F32" s="442">
        <v>9.11922933E8</v>
      </c>
      <c r="G32" s="444" t="s">
        <v>1463</v>
      </c>
      <c r="H32" s="487" t="s">
        <v>1464</v>
      </c>
      <c r="I32" s="491" t="s">
        <v>668</v>
      </c>
      <c r="J32" s="46">
        <v>62.0</v>
      </c>
      <c r="K32" s="489"/>
      <c r="L32" s="447"/>
      <c r="M32" s="493"/>
      <c r="N32" s="101"/>
      <c r="O32" s="446"/>
      <c r="P32" s="449"/>
      <c r="Q32" s="490"/>
      <c r="R32" s="488"/>
    </row>
    <row r="33">
      <c r="B33" s="489"/>
      <c r="C33" s="108" t="s">
        <v>1465</v>
      </c>
      <c r="D33" s="486" t="s">
        <v>1466</v>
      </c>
      <c r="E33" s="83"/>
      <c r="F33" s="442">
        <v>2.046748E7</v>
      </c>
      <c r="G33" s="449"/>
      <c r="H33" s="490"/>
      <c r="I33" s="491" t="s">
        <v>1467</v>
      </c>
      <c r="J33" s="46">
        <v>62.0</v>
      </c>
      <c r="K33" s="489"/>
      <c r="L33" s="447"/>
      <c r="M33" s="493"/>
      <c r="N33" s="101"/>
      <c r="O33" s="446"/>
      <c r="P33" s="449"/>
      <c r="Q33" s="490"/>
      <c r="R33" s="488"/>
    </row>
    <row r="34">
      <c r="B34" s="489"/>
      <c r="C34" s="108" t="s">
        <v>1468</v>
      </c>
      <c r="D34" s="486" t="s">
        <v>1469</v>
      </c>
      <c r="E34" s="83"/>
      <c r="F34" s="442" t="s">
        <v>1470</v>
      </c>
      <c r="G34" s="449"/>
      <c r="H34" s="490"/>
      <c r="I34" s="488"/>
      <c r="J34" s="46">
        <v>16.0</v>
      </c>
      <c r="K34" s="489"/>
      <c r="L34" s="447"/>
      <c r="M34" s="493"/>
      <c r="N34" s="101"/>
      <c r="O34" s="446"/>
      <c r="P34" s="449"/>
      <c r="Q34" s="490"/>
      <c r="R34" s="488"/>
    </row>
    <row r="35">
      <c r="B35" s="489"/>
      <c r="C35" s="108" t="s">
        <v>1471</v>
      </c>
      <c r="D35" s="486" t="s">
        <v>1472</v>
      </c>
      <c r="E35" s="83"/>
      <c r="F35" s="442" t="s">
        <v>1473</v>
      </c>
      <c r="G35" s="449"/>
      <c r="H35" s="490"/>
      <c r="I35" s="491" t="s">
        <v>262</v>
      </c>
      <c r="J35" s="46">
        <v>43.0</v>
      </c>
      <c r="K35" s="489"/>
      <c r="L35" s="447"/>
      <c r="M35" s="493"/>
      <c r="N35" s="101"/>
      <c r="O35" s="446"/>
      <c r="P35" s="449"/>
      <c r="Q35" s="490"/>
      <c r="R35" s="488"/>
    </row>
    <row r="36">
      <c r="B36" s="489"/>
      <c r="C36" s="447"/>
      <c r="D36" s="493"/>
      <c r="E36" s="83"/>
      <c r="F36" s="446"/>
      <c r="G36" s="449"/>
      <c r="H36" s="490"/>
      <c r="I36" s="488"/>
      <c r="K36" s="489"/>
      <c r="L36" s="447"/>
      <c r="M36" s="493"/>
      <c r="N36" s="101"/>
      <c r="O36" s="446"/>
      <c r="P36" s="449"/>
      <c r="Q36" s="490"/>
      <c r="R36" s="488"/>
    </row>
    <row r="37">
      <c r="B37" s="485" t="s">
        <v>1474</v>
      </c>
      <c r="C37" s="108" t="s">
        <v>1475</v>
      </c>
      <c r="D37" s="486" t="s">
        <v>1476</v>
      </c>
      <c r="E37" s="83"/>
      <c r="F37" s="442" t="s">
        <v>664</v>
      </c>
      <c r="G37" s="449"/>
      <c r="H37" s="490"/>
      <c r="I37" s="488"/>
      <c r="K37" s="489"/>
      <c r="L37" s="447"/>
      <c r="M37" s="493"/>
      <c r="N37" s="101"/>
      <c r="O37" s="446"/>
      <c r="P37" s="449"/>
      <c r="Q37" s="490"/>
      <c r="R37" s="488"/>
    </row>
    <row r="38">
      <c r="B38" s="489"/>
      <c r="C38" s="108" t="s">
        <v>1477</v>
      </c>
      <c r="D38" s="486" t="s">
        <v>1478</v>
      </c>
      <c r="E38" s="496"/>
      <c r="F38" s="442" t="s">
        <v>1479</v>
      </c>
      <c r="G38" s="449"/>
      <c r="H38" s="490"/>
      <c r="I38" s="488"/>
      <c r="J38" s="46">
        <v>61.0</v>
      </c>
      <c r="K38" s="489"/>
      <c r="L38" s="447"/>
      <c r="M38" s="493"/>
      <c r="N38" s="101"/>
      <c r="O38" s="446"/>
      <c r="P38" s="449"/>
      <c r="Q38" s="490"/>
      <c r="R38" s="488"/>
    </row>
    <row r="39">
      <c r="B39" s="489"/>
      <c r="C39" s="108" t="s">
        <v>1480</v>
      </c>
      <c r="D39" s="486" t="s">
        <v>1481</v>
      </c>
      <c r="E39" s="496"/>
      <c r="F39" s="442" t="s">
        <v>1479</v>
      </c>
      <c r="G39" s="449"/>
      <c r="H39" s="490"/>
      <c r="I39" s="491" t="s">
        <v>1419</v>
      </c>
      <c r="K39" s="489"/>
      <c r="L39" s="447"/>
      <c r="M39" s="493"/>
      <c r="N39" s="101"/>
      <c r="O39" s="446"/>
      <c r="P39" s="449"/>
      <c r="Q39" s="490"/>
      <c r="R39" s="488"/>
    </row>
    <row r="40">
      <c r="B40" s="489"/>
      <c r="C40" s="108" t="s">
        <v>1482</v>
      </c>
      <c r="D40" s="486" t="s">
        <v>1483</v>
      </c>
      <c r="E40" s="496"/>
      <c r="F40" s="442" t="s">
        <v>1484</v>
      </c>
      <c r="G40" s="449"/>
      <c r="H40" s="490"/>
      <c r="I40" s="488"/>
      <c r="K40" s="489"/>
      <c r="L40" s="447"/>
      <c r="M40" s="493"/>
      <c r="N40" s="101"/>
      <c r="O40" s="446"/>
      <c r="P40" s="449"/>
      <c r="Q40" s="490"/>
      <c r="R40" s="488"/>
    </row>
    <row r="41">
      <c r="B41" s="489"/>
      <c r="C41" s="108" t="s">
        <v>1485</v>
      </c>
      <c r="D41" s="486" t="s">
        <v>1486</v>
      </c>
      <c r="E41" s="83"/>
      <c r="F41" s="442" t="s">
        <v>1487</v>
      </c>
      <c r="G41" s="449"/>
      <c r="H41" s="490"/>
      <c r="I41" s="488"/>
      <c r="J41" s="46">
        <v>62.0</v>
      </c>
      <c r="K41" s="489"/>
      <c r="L41" s="447"/>
      <c r="M41" s="493"/>
      <c r="N41" s="101"/>
      <c r="O41" s="446"/>
      <c r="P41" s="449"/>
      <c r="Q41" s="490"/>
      <c r="R41" s="488"/>
    </row>
    <row r="42">
      <c r="B42" s="489"/>
      <c r="C42" s="108" t="s">
        <v>1488</v>
      </c>
      <c r="D42" s="486" t="s">
        <v>1489</v>
      </c>
      <c r="E42" s="496"/>
      <c r="F42" s="442" t="s">
        <v>1490</v>
      </c>
      <c r="G42" s="444" t="s">
        <v>1491</v>
      </c>
      <c r="H42" s="490"/>
      <c r="I42" s="488"/>
      <c r="K42" s="489"/>
      <c r="L42" s="447"/>
      <c r="M42" s="493"/>
      <c r="N42" s="101"/>
      <c r="O42" s="446"/>
      <c r="P42" s="449"/>
      <c r="Q42" s="490"/>
      <c r="R42" s="488"/>
    </row>
    <row r="43">
      <c r="B43" s="489"/>
      <c r="C43" s="108" t="s">
        <v>1492</v>
      </c>
      <c r="D43" s="486" t="s">
        <v>1493</v>
      </c>
      <c r="E43" s="496"/>
      <c r="F43" s="442" t="s">
        <v>1494</v>
      </c>
      <c r="G43" s="449"/>
      <c r="H43" s="490"/>
      <c r="I43" s="495"/>
      <c r="K43" s="489"/>
      <c r="L43" s="447"/>
      <c r="M43" s="493"/>
      <c r="N43" s="101"/>
      <c r="O43" s="446"/>
      <c r="P43" s="449"/>
      <c r="Q43" s="490"/>
      <c r="R43" s="488"/>
    </row>
    <row r="44">
      <c r="B44" s="489"/>
      <c r="C44" s="108" t="s">
        <v>1495</v>
      </c>
      <c r="D44" s="486" t="s">
        <v>1496</v>
      </c>
      <c r="E44" s="496"/>
      <c r="F44" s="442" t="s">
        <v>1497</v>
      </c>
      <c r="G44" s="444" t="s">
        <v>1498</v>
      </c>
      <c r="H44" s="490"/>
      <c r="I44" s="488"/>
      <c r="J44" s="46">
        <v>40.0</v>
      </c>
      <c r="K44" s="489"/>
      <c r="L44" s="447"/>
      <c r="M44" s="493"/>
      <c r="N44" s="101"/>
      <c r="O44" s="446"/>
      <c r="P44" s="449"/>
      <c r="Q44" s="490"/>
      <c r="R44" s="488"/>
    </row>
    <row r="45">
      <c r="B45" s="489"/>
      <c r="C45" s="108" t="s">
        <v>1499</v>
      </c>
      <c r="D45" s="486" t="s">
        <v>1500</v>
      </c>
      <c r="E45" s="496"/>
      <c r="F45" s="442" t="s">
        <v>1501</v>
      </c>
      <c r="G45" s="444"/>
      <c r="H45" s="490"/>
      <c r="I45" s="491" t="s">
        <v>1377</v>
      </c>
      <c r="K45" s="489"/>
      <c r="L45" s="447"/>
      <c r="M45" s="493"/>
      <c r="N45" s="101"/>
      <c r="O45" s="446"/>
      <c r="P45" s="449"/>
      <c r="Q45" s="490"/>
      <c r="R45" s="488"/>
    </row>
    <row r="46">
      <c r="B46" s="489"/>
      <c r="C46" s="108" t="s">
        <v>1502</v>
      </c>
      <c r="D46" s="486" t="s">
        <v>1503</v>
      </c>
      <c r="E46" s="496"/>
      <c r="F46" s="442" t="s">
        <v>1504</v>
      </c>
      <c r="G46" s="449"/>
      <c r="H46" s="490"/>
      <c r="I46" s="488"/>
      <c r="J46" s="46">
        <v>30.0</v>
      </c>
      <c r="K46" s="489"/>
      <c r="L46" s="447"/>
      <c r="M46" s="493"/>
      <c r="N46" s="101"/>
      <c r="O46" s="446"/>
      <c r="P46" s="449"/>
      <c r="Q46" s="490"/>
      <c r="R46" s="488"/>
    </row>
    <row r="47">
      <c r="B47" s="489"/>
      <c r="C47" s="108" t="s">
        <v>1505</v>
      </c>
      <c r="D47" s="486" t="s">
        <v>1506</v>
      </c>
      <c r="E47" s="496"/>
      <c r="F47" s="442" t="s">
        <v>1501</v>
      </c>
      <c r="G47" s="449"/>
      <c r="H47" s="490"/>
      <c r="I47" s="488"/>
      <c r="J47" s="46">
        <v>62.0</v>
      </c>
      <c r="K47" s="489"/>
      <c r="L47" s="447"/>
      <c r="M47" s="493"/>
      <c r="N47" s="101"/>
      <c r="O47" s="446"/>
      <c r="P47" s="449"/>
      <c r="Q47" s="490"/>
      <c r="R47" s="488"/>
    </row>
    <row r="48">
      <c r="B48" s="489"/>
      <c r="C48" s="108" t="s">
        <v>1507</v>
      </c>
      <c r="D48" s="486" t="s">
        <v>1508</v>
      </c>
      <c r="E48" s="496"/>
      <c r="F48" s="442" t="s">
        <v>1509</v>
      </c>
      <c r="G48" s="449"/>
      <c r="H48" s="490"/>
      <c r="I48" s="488"/>
      <c r="K48" s="489"/>
      <c r="L48" s="447"/>
      <c r="M48" s="493"/>
      <c r="N48" s="101"/>
      <c r="O48" s="446"/>
      <c r="P48" s="449"/>
      <c r="Q48" s="490"/>
      <c r="R48" s="488"/>
    </row>
    <row r="49">
      <c r="B49" s="489"/>
      <c r="C49" s="108" t="s">
        <v>1510</v>
      </c>
      <c r="D49" s="486" t="s">
        <v>1511</v>
      </c>
      <c r="E49" s="496"/>
      <c r="F49" s="442" t="s">
        <v>1512</v>
      </c>
      <c r="G49" s="449"/>
      <c r="H49" s="490"/>
      <c r="I49" s="488"/>
      <c r="K49" s="489"/>
      <c r="L49" s="447"/>
      <c r="M49" s="493"/>
      <c r="N49" s="101"/>
      <c r="O49" s="446"/>
      <c r="P49" s="449"/>
      <c r="Q49" s="490"/>
      <c r="R49" s="488"/>
    </row>
    <row r="50">
      <c r="B50" s="489"/>
      <c r="C50" s="108" t="s">
        <v>1513</v>
      </c>
      <c r="D50" s="486" t="s">
        <v>1514</v>
      </c>
      <c r="E50" s="496"/>
      <c r="F50" s="442" t="s">
        <v>1501</v>
      </c>
      <c r="G50" s="449"/>
      <c r="H50" s="490"/>
      <c r="I50" s="488"/>
      <c r="K50" s="489"/>
      <c r="L50" s="447"/>
      <c r="M50" s="493"/>
      <c r="N50" s="101"/>
      <c r="O50" s="446"/>
      <c r="P50" s="449"/>
      <c r="Q50" s="490"/>
      <c r="R50" s="488"/>
    </row>
    <row r="51">
      <c r="B51" s="489"/>
      <c r="C51" s="108" t="s">
        <v>1515</v>
      </c>
      <c r="D51" s="486" t="s">
        <v>1516</v>
      </c>
      <c r="E51" s="496"/>
      <c r="F51" s="442" t="s">
        <v>1517</v>
      </c>
      <c r="G51" s="449"/>
      <c r="H51" s="490"/>
      <c r="I51" s="488"/>
      <c r="K51" s="489"/>
      <c r="L51" s="447"/>
      <c r="M51" s="493"/>
      <c r="N51" s="101"/>
      <c r="O51" s="446"/>
      <c r="P51" s="449"/>
      <c r="Q51" s="490"/>
      <c r="R51" s="488"/>
    </row>
    <row r="52">
      <c r="B52" s="489"/>
      <c r="C52" s="108" t="s">
        <v>1518</v>
      </c>
      <c r="D52" s="486" t="s">
        <v>124</v>
      </c>
      <c r="E52" s="496"/>
      <c r="F52" s="442" t="s">
        <v>125</v>
      </c>
      <c r="G52" s="449"/>
      <c r="H52" s="490"/>
      <c r="I52" s="488"/>
      <c r="K52" s="489"/>
      <c r="L52" s="447"/>
      <c r="M52" s="493"/>
      <c r="N52" s="101"/>
      <c r="O52" s="446"/>
      <c r="P52" s="449"/>
      <c r="Q52" s="490"/>
      <c r="R52" s="488"/>
    </row>
    <row r="53">
      <c r="B53" s="489"/>
      <c r="C53" s="108" t="s">
        <v>1519</v>
      </c>
      <c r="D53" s="486" t="s">
        <v>1520</v>
      </c>
      <c r="E53" s="496"/>
      <c r="F53" s="442" t="s">
        <v>1411</v>
      </c>
      <c r="G53" s="444" t="s">
        <v>125</v>
      </c>
      <c r="H53" s="490"/>
      <c r="I53" s="491" t="s">
        <v>1377</v>
      </c>
      <c r="K53" s="489"/>
      <c r="L53" s="447"/>
      <c r="M53" s="493"/>
      <c r="N53" s="101"/>
      <c r="O53" s="446"/>
      <c r="P53" s="449"/>
      <c r="Q53" s="490"/>
      <c r="R53" s="488"/>
    </row>
    <row r="54">
      <c r="B54" s="489"/>
      <c r="C54" s="108" t="s">
        <v>1521</v>
      </c>
      <c r="D54" s="486" t="s">
        <v>1522</v>
      </c>
      <c r="E54" s="496"/>
      <c r="F54" s="442" t="s">
        <v>1459</v>
      </c>
      <c r="G54" s="449"/>
      <c r="H54" s="490"/>
      <c r="I54" s="488"/>
      <c r="K54" s="489"/>
      <c r="L54" s="447"/>
      <c r="M54" s="493"/>
      <c r="N54" s="101"/>
      <c r="O54" s="446"/>
      <c r="P54" s="449"/>
      <c r="Q54" s="490"/>
      <c r="R54" s="488"/>
    </row>
    <row r="55">
      <c r="B55" s="489"/>
      <c r="C55" s="108" t="s">
        <v>1523</v>
      </c>
      <c r="D55" s="486" t="s">
        <v>1524</v>
      </c>
      <c r="E55" s="496"/>
      <c r="F55" s="442" t="s">
        <v>1525</v>
      </c>
      <c r="G55" s="449"/>
      <c r="H55" s="490"/>
      <c r="I55" s="488"/>
      <c r="K55" s="489"/>
      <c r="L55" s="447"/>
      <c r="M55" s="493"/>
      <c r="N55" s="101"/>
      <c r="O55" s="446"/>
      <c r="P55" s="449"/>
      <c r="Q55" s="490"/>
      <c r="R55" s="488"/>
    </row>
    <row r="56">
      <c r="B56" s="489"/>
      <c r="C56" s="108" t="s">
        <v>1526</v>
      </c>
      <c r="D56" s="486" t="s">
        <v>1527</v>
      </c>
      <c r="E56" s="496"/>
      <c r="F56" s="442" t="s">
        <v>1459</v>
      </c>
      <c r="G56" s="444" t="s">
        <v>1528</v>
      </c>
      <c r="H56" s="490"/>
      <c r="I56" s="491" t="s">
        <v>1377</v>
      </c>
      <c r="K56" s="489"/>
      <c r="L56" s="447"/>
      <c r="M56" s="493"/>
      <c r="N56" s="101"/>
      <c r="O56" s="446"/>
      <c r="P56" s="449"/>
      <c r="Q56" s="490"/>
      <c r="R56" s="488"/>
    </row>
    <row r="57">
      <c r="B57" s="489"/>
      <c r="C57" s="108" t="s">
        <v>1529</v>
      </c>
      <c r="D57" s="486" t="s">
        <v>1530</v>
      </c>
      <c r="E57" s="496"/>
      <c r="F57" s="497" t="s">
        <v>1531</v>
      </c>
      <c r="G57" s="449"/>
      <c r="H57" s="490"/>
      <c r="I57" s="488"/>
      <c r="K57" s="489"/>
      <c r="L57" s="447"/>
      <c r="M57" s="493"/>
      <c r="N57" s="101"/>
      <c r="O57" s="446"/>
      <c r="P57" s="449"/>
      <c r="Q57" s="490"/>
      <c r="R57" s="488"/>
    </row>
    <row r="58">
      <c r="B58" s="489"/>
      <c r="C58" s="108" t="s">
        <v>1532</v>
      </c>
      <c r="D58" s="486" t="s">
        <v>1533</v>
      </c>
      <c r="E58" s="496"/>
      <c r="F58" s="442" t="s">
        <v>1534</v>
      </c>
      <c r="G58" s="449"/>
      <c r="H58" s="490"/>
      <c r="I58" s="491" t="s">
        <v>1377</v>
      </c>
      <c r="K58" s="489"/>
      <c r="L58" s="447"/>
      <c r="M58" s="493"/>
      <c r="N58" s="101"/>
      <c r="O58" s="446"/>
      <c r="P58" s="449"/>
      <c r="Q58" s="490"/>
      <c r="R58" s="488"/>
    </row>
    <row r="59">
      <c r="B59" s="489"/>
      <c r="C59" s="108" t="s">
        <v>1535</v>
      </c>
      <c r="D59" s="486" t="s">
        <v>1536</v>
      </c>
      <c r="E59" s="496"/>
      <c r="F59" s="442" t="s">
        <v>1537</v>
      </c>
      <c r="G59" s="449"/>
      <c r="H59" s="490"/>
      <c r="I59" s="488"/>
      <c r="K59" s="489"/>
      <c r="L59" s="447"/>
      <c r="M59" s="493"/>
      <c r="N59" s="101"/>
      <c r="O59" s="446"/>
      <c r="P59" s="449"/>
      <c r="Q59" s="490"/>
      <c r="R59" s="488"/>
    </row>
    <row r="60">
      <c r="B60" s="489"/>
      <c r="C60" s="108" t="s">
        <v>1538</v>
      </c>
      <c r="D60" s="486" t="s">
        <v>1539</v>
      </c>
      <c r="E60" s="496"/>
      <c r="F60" s="442" t="s">
        <v>1540</v>
      </c>
      <c r="G60" s="449"/>
      <c r="H60" s="490"/>
      <c r="I60" s="488"/>
      <c r="K60" s="489"/>
      <c r="L60" s="447"/>
      <c r="M60" s="493"/>
      <c r="N60" s="101"/>
      <c r="O60" s="446"/>
      <c r="P60" s="449"/>
      <c r="Q60" s="490"/>
      <c r="R60" s="488"/>
    </row>
    <row r="61">
      <c r="B61" s="489"/>
      <c r="C61" s="108" t="s">
        <v>1541</v>
      </c>
      <c r="D61" s="486" t="s">
        <v>1542</v>
      </c>
      <c r="E61" s="83"/>
      <c r="F61" s="442" t="s">
        <v>1380</v>
      </c>
      <c r="G61" s="449"/>
      <c r="H61" s="490"/>
      <c r="I61" s="488"/>
      <c r="K61" s="489"/>
      <c r="L61" s="447"/>
      <c r="M61" s="493"/>
      <c r="N61" s="101"/>
      <c r="O61" s="446"/>
      <c r="P61" s="449"/>
      <c r="Q61" s="490"/>
      <c r="R61" s="488"/>
    </row>
    <row r="62">
      <c r="B62" s="489"/>
      <c r="C62" s="108" t="s">
        <v>657</v>
      </c>
      <c r="D62" s="486" t="s">
        <v>658</v>
      </c>
      <c r="E62" s="496"/>
      <c r="F62" s="442" t="s">
        <v>659</v>
      </c>
      <c r="G62" s="449"/>
      <c r="H62" s="490"/>
      <c r="I62" s="488"/>
      <c r="K62" s="489"/>
      <c r="L62" s="447"/>
      <c r="M62" s="493"/>
      <c r="N62" s="101"/>
      <c r="O62" s="446"/>
      <c r="P62" s="449"/>
      <c r="Q62" s="490"/>
      <c r="R62" s="488"/>
    </row>
    <row r="63">
      <c r="B63" s="489"/>
      <c r="C63" s="108" t="s">
        <v>1543</v>
      </c>
      <c r="D63" s="486" t="s">
        <v>1409</v>
      </c>
      <c r="E63" s="496"/>
      <c r="F63" s="442" t="s">
        <v>1544</v>
      </c>
      <c r="G63" s="449"/>
      <c r="H63" s="490"/>
      <c r="I63" s="488"/>
      <c r="K63" s="489"/>
      <c r="L63" s="447"/>
      <c r="M63" s="493"/>
      <c r="N63" s="101"/>
      <c r="O63" s="446"/>
      <c r="P63" s="449"/>
      <c r="Q63" s="490"/>
      <c r="R63" s="488"/>
    </row>
    <row r="64">
      <c r="B64" s="489"/>
      <c r="C64" s="108" t="s">
        <v>1545</v>
      </c>
      <c r="D64" s="486" t="s">
        <v>661</v>
      </c>
      <c r="E64" s="496"/>
      <c r="F64" s="442">
        <v>2.046748E7</v>
      </c>
      <c r="G64" s="449"/>
      <c r="H64" s="490"/>
      <c r="I64" s="488"/>
      <c r="K64" s="489"/>
      <c r="L64" s="447"/>
      <c r="M64" s="493"/>
      <c r="N64" s="101"/>
      <c r="O64" s="446"/>
      <c r="P64" s="449"/>
      <c r="Q64" s="490"/>
      <c r="R64" s="488"/>
    </row>
    <row r="65">
      <c r="B65" s="489"/>
      <c r="C65" s="108" t="s">
        <v>1546</v>
      </c>
      <c r="D65" s="486" t="s">
        <v>1547</v>
      </c>
      <c r="E65" s="83"/>
      <c r="F65" s="442" t="s">
        <v>1450</v>
      </c>
      <c r="G65" s="444" t="s">
        <v>1411</v>
      </c>
      <c r="H65" s="490"/>
      <c r="I65" s="488"/>
      <c r="K65" s="489"/>
      <c r="L65" s="447"/>
      <c r="M65" s="493"/>
      <c r="N65" s="101"/>
      <c r="O65" s="446"/>
      <c r="P65" s="449"/>
      <c r="Q65" s="490"/>
      <c r="R65" s="488"/>
    </row>
    <row r="66">
      <c r="B66" s="489"/>
      <c r="C66" s="108" t="s">
        <v>1548</v>
      </c>
      <c r="D66" s="486" t="s">
        <v>1549</v>
      </c>
      <c r="E66" s="83"/>
      <c r="F66" s="442" t="s">
        <v>1438</v>
      </c>
      <c r="G66" s="449"/>
      <c r="H66" s="490"/>
      <c r="I66" s="488"/>
      <c r="K66" s="489"/>
      <c r="L66" s="447"/>
      <c r="M66" s="493"/>
      <c r="N66" s="101"/>
      <c r="O66" s="446"/>
      <c r="P66" s="449"/>
      <c r="Q66" s="490"/>
      <c r="R66" s="488"/>
    </row>
    <row r="67">
      <c r="B67" s="489"/>
      <c r="C67" s="447"/>
      <c r="D67" s="493"/>
      <c r="E67" s="83"/>
      <c r="F67" s="446"/>
      <c r="G67" s="449"/>
      <c r="H67" s="490"/>
      <c r="I67" s="488"/>
      <c r="K67" s="489"/>
      <c r="L67" s="447"/>
      <c r="M67" s="493"/>
      <c r="N67" s="101"/>
      <c r="O67" s="446"/>
      <c r="P67" s="449"/>
      <c r="Q67" s="490"/>
      <c r="R67" s="488"/>
    </row>
    <row r="68">
      <c r="B68" s="489"/>
      <c r="C68" s="447"/>
      <c r="D68" s="493"/>
      <c r="E68" s="83"/>
      <c r="F68" s="446"/>
      <c r="G68" s="449"/>
      <c r="H68" s="490"/>
      <c r="I68" s="488"/>
      <c r="K68" s="489"/>
      <c r="L68" s="447"/>
      <c r="M68" s="493"/>
      <c r="N68" s="101"/>
      <c r="O68" s="446"/>
      <c r="P68" s="449"/>
      <c r="Q68" s="490"/>
      <c r="R68" s="488"/>
    </row>
    <row r="69">
      <c r="B69" s="489"/>
      <c r="C69" s="447"/>
      <c r="D69" s="493"/>
      <c r="E69" s="83"/>
      <c r="F69" s="446"/>
      <c r="G69" s="449"/>
      <c r="H69" s="490"/>
      <c r="I69" s="488"/>
      <c r="K69" s="489"/>
      <c r="L69" s="447"/>
      <c r="M69" s="493"/>
      <c r="N69" s="101"/>
      <c r="O69" s="446"/>
      <c r="P69" s="449"/>
      <c r="Q69" s="490"/>
      <c r="R69" s="488"/>
    </row>
    <row r="70">
      <c r="B70" s="489"/>
      <c r="C70" s="447"/>
      <c r="D70" s="493"/>
      <c r="E70" s="83"/>
      <c r="F70" s="446"/>
      <c r="G70" s="449"/>
      <c r="H70" s="490"/>
      <c r="I70" s="488"/>
      <c r="K70" s="489"/>
      <c r="L70" s="447"/>
      <c r="M70" s="493"/>
      <c r="N70" s="83"/>
      <c r="O70" s="446"/>
      <c r="P70" s="449"/>
      <c r="Q70" s="490"/>
      <c r="R70" s="488"/>
    </row>
    <row r="71">
      <c r="B71" s="489"/>
      <c r="C71" s="447"/>
      <c r="D71" s="493"/>
      <c r="E71" s="83"/>
      <c r="F71" s="446"/>
      <c r="G71" s="449"/>
      <c r="H71" s="490"/>
      <c r="I71" s="488"/>
    </row>
  </sheetData>
  <mergeCells count="100">
    <mergeCell ref="M28:N28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9:N59"/>
    <mergeCell ref="M60:N60"/>
    <mergeCell ref="M62:N62"/>
    <mergeCell ref="M63:N63"/>
    <mergeCell ref="M64:N64"/>
    <mergeCell ref="M52:N52"/>
    <mergeCell ref="M53:N53"/>
    <mergeCell ref="M54:N54"/>
    <mergeCell ref="M55:N55"/>
    <mergeCell ref="M56:N56"/>
    <mergeCell ref="M57:N57"/>
    <mergeCell ref="M58:N58"/>
    <mergeCell ref="M10:N10"/>
    <mergeCell ref="M13:N13"/>
    <mergeCell ref="M14:N14"/>
    <mergeCell ref="M15:N15"/>
    <mergeCell ref="M17:N17"/>
    <mergeCell ref="M18:N18"/>
    <mergeCell ref="M19:N19"/>
    <mergeCell ref="M21:N21"/>
    <mergeCell ref="M22:N22"/>
    <mergeCell ref="M23:N23"/>
    <mergeCell ref="M24:N24"/>
    <mergeCell ref="M25:N25"/>
    <mergeCell ref="M26:N26"/>
    <mergeCell ref="M27:N27"/>
    <mergeCell ref="D6:E6"/>
    <mergeCell ref="M6:N6"/>
    <mergeCell ref="D7:E7"/>
    <mergeCell ref="M7:N7"/>
    <mergeCell ref="D8:E8"/>
    <mergeCell ref="M8:N8"/>
    <mergeCell ref="M9:N9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M41:N41"/>
    <mergeCell ref="M61:N61"/>
    <mergeCell ref="M65:N65"/>
    <mergeCell ref="M66:N66"/>
    <mergeCell ref="M67:N67"/>
    <mergeCell ref="M68:N68"/>
    <mergeCell ref="M69:N69"/>
    <mergeCell ref="M70:N70"/>
    <mergeCell ref="D69:E69"/>
    <mergeCell ref="D70:E70"/>
    <mergeCell ref="D71:E71"/>
    <mergeCell ref="D37:E37"/>
    <mergeCell ref="D41:E41"/>
    <mergeCell ref="D61:E61"/>
    <mergeCell ref="D65:E65"/>
    <mergeCell ref="D66:E66"/>
    <mergeCell ref="D67:E67"/>
    <mergeCell ref="D68:E68"/>
  </mergeCells>
  <hyperlinks>
    <hyperlink r:id="rId1" ref="C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5.63"/>
  </cols>
  <sheetData>
    <row r="1">
      <c r="A1" s="498" t="s">
        <v>1550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6.63"/>
    <col customWidth="1" min="3" max="3" width="16.0"/>
    <col customWidth="1" min="4" max="4" width="22.0"/>
    <col customWidth="1" min="5" max="5" width="79.75"/>
    <col customWidth="1" min="6" max="6" width="41.38"/>
    <col customWidth="1" min="7" max="7" width="12.75"/>
    <col customWidth="1" min="8" max="8" width="7.88"/>
    <col customWidth="1" min="9" max="9" width="12.75"/>
    <col customWidth="1" min="10" max="10" width="46.38"/>
    <col customWidth="1" min="11" max="11" width="12.75"/>
    <col customWidth="1" min="12" max="12" width="49.5"/>
    <col customWidth="1" min="13" max="20" width="12.75"/>
  </cols>
  <sheetData>
    <row r="1" ht="15.75" customHeight="1">
      <c r="A1" s="499">
        <v>782545.0</v>
      </c>
      <c r="B1" s="500" t="s">
        <v>418</v>
      </c>
      <c r="C1" s="501" t="s">
        <v>419</v>
      </c>
      <c r="D1" s="502"/>
      <c r="E1" s="502"/>
      <c r="F1" s="503"/>
      <c r="G1" s="504"/>
      <c r="H1" s="504"/>
      <c r="I1" s="505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</row>
    <row r="2" ht="15.75" customHeight="1">
      <c r="A2" s="507" t="s">
        <v>448</v>
      </c>
      <c r="B2" s="507" t="s">
        <v>449</v>
      </c>
      <c r="C2" s="507" t="s">
        <v>450</v>
      </c>
      <c r="D2" s="508"/>
      <c r="E2" s="508"/>
      <c r="F2" s="503"/>
      <c r="G2" s="508"/>
      <c r="H2" s="508"/>
      <c r="I2" s="505"/>
      <c r="J2" s="506"/>
      <c r="K2" s="506"/>
      <c r="L2" s="506"/>
      <c r="M2" s="506"/>
      <c r="N2" s="506"/>
      <c r="O2" s="506"/>
      <c r="P2" s="506"/>
      <c r="Q2" s="506"/>
      <c r="R2" s="506"/>
      <c r="S2" s="506"/>
      <c r="T2" s="506"/>
    </row>
    <row r="3" ht="15.75" customHeight="1">
      <c r="A3" s="509" t="s">
        <v>1551</v>
      </c>
      <c r="B3" s="509" t="s">
        <v>402</v>
      </c>
      <c r="C3" s="509" t="s">
        <v>403</v>
      </c>
      <c r="D3" s="510" t="s">
        <v>1039</v>
      </c>
      <c r="E3" s="508"/>
      <c r="G3" s="508"/>
      <c r="H3" s="508"/>
      <c r="I3" s="505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</row>
    <row r="4" ht="15.75" customHeight="1">
      <c r="A4" s="511" t="s">
        <v>1552</v>
      </c>
      <c r="B4" s="511" t="s">
        <v>440</v>
      </c>
      <c r="C4" s="512" t="s">
        <v>1553</v>
      </c>
      <c r="D4" s="508"/>
      <c r="E4" s="508"/>
      <c r="F4" s="503"/>
      <c r="G4" s="508"/>
      <c r="H4" s="508"/>
      <c r="I4" s="505"/>
      <c r="J4" s="506"/>
      <c r="K4" s="506"/>
      <c r="L4" s="506"/>
      <c r="M4" s="506"/>
      <c r="N4" s="506"/>
      <c r="O4" s="506"/>
      <c r="P4" s="506"/>
      <c r="Q4" s="506"/>
      <c r="R4" s="506"/>
      <c r="S4" s="506"/>
      <c r="T4" s="506"/>
    </row>
    <row r="5" ht="15.75" customHeight="1">
      <c r="A5" s="513" t="s">
        <v>1554</v>
      </c>
      <c r="B5" s="513" t="s">
        <v>239</v>
      </c>
      <c r="C5" s="513" t="s">
        <v>240</v>
      </c>
      <c r="D5" s="513" t="s">
        <v>1555</v>
      </c>
      <c r="E5" s="513" t="s">
        <v>1556</v>
      </c>
      <c r="F5" s="508"/>
      <c r="G5" s="508"/>
      <c r="H5" s="508"/>
      <c r="I5" s="505"/>
      <c r="J5" s="506"/>
      <c r="K5" s="506"/>
      <c r="L5" s="506"/>
      <c r="M5" s="506"/>
      <c r="N5" s="506"/>
      <c r="O5" s="506"/>
      <c r="P5" s="506"/>
      <c r="Q5" s="506"/>
      <c r="R5" s="506"/>
      <c r="S5" s="506"/>
      <c r="T5" s="506"/>
    </row>
    <row r="6" ht="15.75" customHeight="1">
      <c r="A6" s="514" t="s">
        <v>1441</v>
      </c>
      <c r="B6" s="514" t="s">
        <v>427</v>
      </c>
      <c r="C6" s="514" t="s">
        <v>428</v>
      </c>
      <c r="D6" s="503">
        <v>5536.0</v>
      </c>
      <c r="E6" s="515"/>
      <c r="F6" s="508"/>
      <c r="G6" s="508"/>
      <c r="H6" s="508"/>
      <c r="I6" s="505"/>
      <c r="J6" s="506"/>
      <c r="K6" s="506"/>
      <c r="L6" s="506"/>
      <c r="M6" s="506"/>
      <c r="N6" s="506"/>
      <c r="O6" s="506"/>
      <c r="P6" s="506"/>
      <c r="Q6" s="506"/>
      <c r="R6" s="506"/>
      <c r="S6" s="506"/>
      <c r="T6" s="506"/>
    </row>
    <row r="7" ht="15.75" customHeight="1">
      <c r="A7" s="516" t="s">
        <v>350</v>
      </c>
      <c r="B7" s="516" t="s">
        <v>351</v>
      </c>
      <c r="C7" s="514" t="s">
        <v>352</v>
      </c>
      <c r="D7" s="508"/>
      <c r="E7" s="517" t="str">
        <f>HYPERLINK("http://cc2.evony.com/s.html?loginid=757365726e616d653d6a7477633140686f746d61696c2e636f6d2670617373776f72643d323530343137393533332669703d3231362e36362e362e313135267265673d30&amp;adv=www_evony_com_inde","http://cc2.evony.com/s.html?loginid=757365726e616d653d6a7477633140686f746d61696c2e636f6d2670617373776f72643d323530343137393533332669703d3231362e36362e362e313135267265673d30&amp;adv=www_evony_com_inde")</f>
        <v>http://cc2.evony.com/s.html?loginid=757365726e616d653d6a7477633140686f746d61696c2e636f6d2670617373776f72643d323530343137393533332669703d3231362e36362e362e313135267265673d30&amp;adv=www_evony_com_inde</v>
      </c>
      <c r="F7" s="508"/>
      <c r="G7" s="508"/>
      <c r="H7" s="508"/>
      <c r="I7" s="505"/>
      <c r="J7" s="506"/>
      <c r="K7" s="506"/>
      <c r="L7" s="506"/>
      <c r="M7" s="506"/>
      <c r="N7" s="506"/>
      <c r="O7" s="506"/>
      <c r="P7" s="506"/>
      <c r="Q7" s="506"/>
      <c r="R7" s="506"/>
      <c r="S7" s="506"/>
      <c r="T7" s="506"/>
    </row>
    <row r="8" ht="15.75" customHeight="1">
      <c r="A8" s="518" t="s">
        <v>1521</v>
      </c>
      <c r="B8" s="518" t="s">
        <v>1557</v>
      </c>
      <c r="C8" s="518" t="s">
        <v>1411</v>
      </c>
      <c r="D8" s="519"/>
      <c r="E8" s="520"/>
      <c r="F8" s="508"/>
      <c r="G8" s="508"/>
      <c r="H8" s="508"/>
      <c r="I8" s="505"/>
      <c r="J8" s="506"/>
      <c r="K8" s="506"/>
      <c r="L8" s="506"/>
      <c r="M8" s="506"/>
      <c r="N8" s="506"/>
      <c r="O8" s="506"/>
      <c r="P8" s="506"/>
      <c r="Q8" s="506"/>
      <c r="R8" s="506"/>
      <c r="S8" s="506"/>
      <c r="T8" s="506"/>
    </row>
    <row r="9" ht="15.75" customHeight="1">
      <c r="A9" s="521" t="s">
        <v>1558</v>
      </c>
      <c r="B9" s="521" t="s">
        <v>712</v>
      </c>
      <c r="C9" s="521" t="s">
        <v>1559</v>
      </c>
      <c r="D9" s="508"/>
      <c r="E9" s="520"/>
      <c r="F9" s="508"/>
      <c r="G9" s="508"/>
      <c r="H9" s="508"/>
      <c r="I9" s="505"/>
      <c r="J9" s="506"/>
      <c r="K9" s="506"/>
      <c r="L9" s="506"/>
      <c r="M9" s="506"/>
      <c r="N9" s="506"/>
      <c r="O9" s="506"/>
      <c r="P9" s="506"/>
      <c r="Q9" s="506"/>
      <c r="R9" s="506"/>
      <c r="S9" s="506"/>
      <c r="T9" s="506"/>
    </row>
    <row r="10" ht="15.75" customHeight="1">
      <c r="A10" s="521" t="s">
        <v>1560</v>
      </c>
      <c r="B10" s="521" t="s">
        <v>1364</v>
      </c>
      <c r="C10" s="521" t="s">
        <v>1561</v>
      </c>
      <c r="D10" s="519"/>
      <c r="E10" s="520"/>
      <c r="F10" s="508"/>
      <c r="G10" s="508"/>
      <c r="H10" s="508"/>
      <c r="I10" s="505"/>
      <c r="J10" s="506"/>
      <c r="K10" s="506"/>
      <c r="L10" s="506"/>
      <c r="M10" s="506"/>
      <c r="N10" s="506"/>
      <c r="O10" s="506"/>
      <c r="P10" s="506"/>
      <c r="Q10" s="506"/>
      <c r="R10" s="506"/>
      <c r="S10" s="506"/>
      <c r="T10" s="506"/>
    </row>
    <row r="11" ht="15.75" customHeight="1">
      <c r="A11" s="522" t="s">
        <v>1562</v>
      </c>
      <c r="B11" s="523" t="s">
        <v>1563</v>
      </c>
      <c r="C11" s="523" t="s">
        <v>1564</v>
      </c>
      <c r="D11" s="519"/>
      <c r="E11" s="520"/>
      <c r="F11" s="508"/>
      <c r="G11" s="508"/>
      <c r="H11" s="508"/>
      <c r="I11" s="505"/>
      <c r="J11" s="506"/>
      <c r="K11" s="506"/>
      <c r="L11" s="506"/>
      <c r="M11" s="506"/>
      <c r="N11" s="506"/>
      <c r="O11" s="506"/>
      <c r="P11" s="506"/>
      <c r="Q11" s="506"/>
      <c r="R11" s="506"/>
      <c r="S11" s="506"/>
      <c r="T11" s="506"/>
    </row>
    <row r="12" ht="15.75" customHeight="1">
      <c r="A12" s="524" t="s">
        <v>1565</v>
      </c>
      <c r="B12" s="524" t="s">
        <v>1566</v>
      </c>
      <c r="C12" s="524" t="s">
        <v>1567</v>
      </c>
      <c r="D12" s="508"/>
      <c r="E12" s="508"/>
      <c r="F12" s="508"/>
      <c r="G12" s="508"/>
      <c r="H12" s="508"/>
      <c r="I12" s="504"/>
      <c r="J12" s="504"/>
      <c r="K12" s="504"/>
      <c r="L12" s="504"/>
      <c r="M12" s="504"/>
      <c r="N12" s="504"/>
      <c r="O12" s="504"/>
      <c r="P12" s="504"/>
      <c r="Q12" s="504"/>
      <c r="R12" s="504"/>
      <c r="S12" s="505"/>
      <c r="T12" s="506"/>
    </row>
    <row r="13" ht="15.75" customHeight="1">
      <c r="A13" s="46" t="s">
        <v>111</v>
      </c>
      <c r="B13" s="46" t="s">
        <v>112</v>
      </c>
      <c r="C13" s="525" t="s">
        <v>1568</v>
      </c>
      <c r="D13" s="526" t="s">
        <v>1569</v>
      </c>
      <c r="E13" s="508"/>
      <c r="F13" s="508"/>
      <c r="G13" s="508"/>
      <c r="H13" s="508"/>
      <c r="I13" s="508"/>
      <c r="J13" s="508"/>
      <c r="K13" s="508"/>
      <c r="L13" s="508"/>
      <c r="M13" s="508"/>
      <c r="N13" s="508"/>
      <c r="O13" s="508"/>
      <c r="P13" s="508"/>
      <c r="Q13" s="508"/>
      <c r="R13" s="508"/>
      <c r="S13" s="504"/>
      <c r="T13" s="505"/>
    </row>
    <row r="14" ht="15.75" customHeight="1">
      <c r="A14" s="527" t="s">
        <v>1570</v>
      </c>
      <c r="B14" s="527" t="s">
        <v>446</v>
      </c>
      <c r="C14" s="527" t="s">
        <v>447</v>
      </c>
      <c r="D14" s="508"/>
      <c r="E14" s="508"/>
      <c r="F14" s="508"/>
      <c r="G14" s="508"/>
      <c r="H14" s="508"/>
      <c r="I14" s="508"/>
      <c r="J14" s="508"/>
      <c r="K14" s="508"/>
      <c r="L14" s="508"/>
      <c r="M14" s="508"/>
      <c r="N14" s="508"/>
      <c r="O14" s="508"/>
      <c r="P14" s="508"/>
      <c r="Q14" s="508"/>
      <c r="R14" s="508"/>
      <c r="S14" s="508"/>
      <c r="T14" s="505"/>
    </row>
    <row r="15" ht="15.75" customHeight="1">
      <c r="A15" s="527" t="s">
        <v>1087</v>
      </c>
      <c r="B15" s="527" t="s">
        <v>1088</v>
      </c>
      <c r="C15" s="527" t="s">
        <v>1089</v>
      </c>
      <c r="D15" s="503"/>
      <c r="E15" s="508"/>
      <c r="F15" s="508"/>
      <c r="G15" s="508"/>
      <c r="H15" s="508"/>
      <c r="I15" s="508"/>
      <c r="J15" s="508"/>
      <c r="K15" s="508"/>
      <c r="L15" s="508"/>
      <c r="M15" s="508"/>
      <c r="N15" s="508"/>
      <c r="O15" s="508"/>
      <c r="P15" s="508"/>
      <c r="Q15" s="508"/>
      <c r="R15" s="508"/>
      <c r="S15" s="508"/>
      <c r="T15" s="505"/>
    </row>
    <row r="16" ht="15.75" customHeight="1">
      <c r="A16" s="527" t="s">
        <v>1571</v>
      </c>
      <c r="B16" s="527" t="s">
        <v>437</v>
      </c>
      <c r="C16" s="527" t="s">
        <v>438</v>
      </c>
      <c r="D16" s="528">
        <f>13303473647</f>
        <v>13303473647</v>
      </c>
      <c r="E16" s="508"/>
      <c r="F16" s="508"/>
      <c r="G16" s="508"/>
      <c r="H16" s="508"/>
      <c r="I16" s="508"/>
      <c r="J16" s="508"/>
      <c r="K16" s="508"/>
      <c r="L16" s="508"/>
      <c r="M16" s="508"/>
      <c r="N16" s="508"/>
      <c r="O16" s="508"/>
      <c r="P16" s="508"/>
      <c r="Q16" s="508"/>
      <c r="R16" s="508"/>
      <c r="S16" s="508"/>
      <c r="T16" s="505"/>
    </row>
    <row r="17" ht="15.75" customHeight="1">
      <c r="A17" s="527" t="s">
        <v>1572</v>
      </c>
      <c r="B17" s="527" t="s">
        <v>456</v>
      </c>
      <c r="C17" s="501" t="s">
        <v>1573</v>
      </c>
      <c r="D17" s="508"/>
      <c r="E17" s="508"/>
      <c r="F17" s="529" t="s">
        <v>1574</v>
      </c>
      <c r="G17" s="508"/>
      <c r="H17" s="508"/>
      <c r="I17" s="503" t="s">
        <v>1575</v>
      </c>
      <c r="J17" s="508"/>
      <c r="K17" s="508"/>
      <c r="L17" s="508"/>
      <c r="M17" s="508"/>
      <c r="N17" s="508"/>
      <c r="O17" s="508"/>
      <c r="P17" s="508"/>
      <c r="Q17" s="508"/>
      <c r="R17" s="508"/>
      <c r="S17" s="508"/>
      <c r="T17" s="505"/>
    </row>
    <row r="18" ht="15.75" customHeight="1">
      <c r="A18" s="527" t="s">
        <v>1027</v>
      </c>
      <c r="B18" s="527" t="s">
        <v>359</v>
      </c>
      <c r="C18" s="527" t="s">
        <v>1576</v>
      </c>
      <c r="D18" s="508"/>
      <c r="E18" s="508"/>
      <c r="F18" s="508"/>
      <c r="G18" s="508"/>
      <c r="H18" s="508"/>
      <c r="I18" s="508"/>
      <c r="J18" s="508"/>
      <c r="K18" s="508"/>
      <c r="L18" s="508"/>
      <c r="M18" s="508"/>
      <c r="N18" s="508"/>
      <c r="O18" s="508"/>
      <c r="P18" s="508"/>
      <c r="Q18" s="508"/>
      <c r="R18" s="508"/>
      <c r="S18" s="508"/>
      <c r="T18" s="505"/>
    </row>
    <row r="19" ht="15.75" customHeight="1">
      <c r="A19" s="501"/>
      <c r="B19" s="530"/>
      <c r="C19" s="531"/>
      <c r="D19" s="508"/>
      <c r="E19" s="508"/>
      <c r="F19" s="508"/>
      <c r="G19" s="508"/>
      <c r="H19" s="508"/>
      <c r="I19" s="508"/>
      <c r="J19" s="508"/>
      <c r="K19" s="508"/>
      <c r="L19" s="508"/>
      <c r="M19" s="508"/>
      <c r="N19" s="508"/>
      <c r="O19" s="508"/>
      <c r="P19" s="508"/>
      <c r="Q19" s="508"/>
      <c r="R19" s="508"/>
      <c r="S19" s="508"/>
      <c r="T19" s="505"/>
    </row>
    <row r="20" ht="15.75" customHeight="1">
      <c r="A20" s="527" t="s">
        <v>303</v>
      </c>
      <c r="B20" s="527" t="s">
        <v>304</v>
      </c>
      <c r="C20" s="527" t="s">
        <v>1577</v>
      </c>
      <c r="D20" s="532" t="s">
        <v>305</v>
      </c>
      <c r="E20" s="517" t="str">
        <f>HYPERLINK("http://cc2.evony.com/s.html?loginid=757365726e616d653d6d6f6f72652e746e3240676d61696c2e636f6d2670617373776f72643d70617373776f72642669703d3231362e36362e362e313135267265673d30&amp;adv=www_evony_com_inde","http://cc2.evony.com/s.html?loginid=757365726e616d653d6d6f6f72652e746e3240676d61696c2e636f6d2670617373776f72643d70617373776f72642669703d3231362e36362e362e313135267265673d30&amp;adv=www_evony_com_inde")</f>
        <v>http://cc2.evony.com/s.html?loginid=757365726e616d653d6d6f6f72652e746e3240676d61696c2e636f6d2670617373776f72643d70617373776f72642669703d3231362e36362e362e313135267265673d30&amp;adv=www_evony_com_inde</v>
      </c>
      <c r="F20" s="511" t="s">
        <v>1578</v>
      </c>
      <c r="G20" s="508"/>
      <c r="H20" s="508"/>
      <c r="I20" s="508"/>
      <c r="J20" s="508"/>
      <c r="K20" s="508"/>
      <c r="L20" s="508"/>
      <c r="M20" s="508"/>
      <c r="N20" s="508"/>
      <c r="O20" s="508"/>
      <c r="P20" s="508"/>
      <c r="Q20" s="508"/>
      <c r="R20" s="508"/>
      <c r="S20" s="508"/>
      <c r="T20" s="505"/>
    </row>
    <row r="21" ht="15.75" customHeight="1">
      <c r="A21" s="527" t="s">
        <v>1565</v>
      </c>
      <c r="B21" s="527" t="s">
        <v>1566</v>
      </c>
      <c r="C21" s="527" t="s">
        <v>1567</v>
      </c>
      <c r="D21" s="508"/>
      <c r="E21" s="503" t="s">
        <v>1579</v>
      </c>
      <c r="F21" s="508"/>
      <c r="G21" s="508"/>
      <c r="H21" s="508"/>
      <c r="I21" s="508"/>
      <c r="J21" s="508"/>
      <c r="K21" s="508"/>
      <c r="L21" s="508"/>
      <c r="M21" s="508"/>
      <c r="N21" s="508"/>
      <c r="O21" s="508"/>
      <c r="P21" s="508"/>
      <c r="Q21" s="508"/>
      <c r="R21" s="508"/>
      <c r="S21" s="508"/>
      <c r="T21" s="505"/>
    </row>
    <row r="22" ht="15.75" customHeight="1">
      <c r="A22" s="501" t="s">
        <v>1580</v>
      </c>
      <c r="B22" s="501" t="s">
        <v>293</v>
      </c>
      <c r="C22" s="501" t="s">
        <v>1107</v>
      </c>
      <c r="D22" s="508"/>
      <c r="E22" s="508"/>
      <c r="F22" s="508"/>
      <c r="G22" s="508"/>
      <c r="H22" s="508"/>
      <c r="I22" s="508"/>
      <c r="J22" s="508"/>
      <c r="K22" s="508"/>
      <c r="L22" s="508"/>
      <c r="M22" s="508"/>
      <c r="N22" s="508"/>
      <c r="O22" s="508"/>
      <c r="P22" s="508"/>
      <c r="Q22" s="508"/>
      <c r="R22" s="508"/>
      <c r="S22" s="508"/>
      <c r="T22" s="505"/>
    </row>
    <row r="23" ht="15.75" customHeight="1">
      <c r="A23" s="533" t="s">
        <v>1581</v>
      </c>
      <c r="B23" s="533" t="s">
        <v>389</v>
      </c>
      <c r="C23" s="533" t="s">
        <v>1582</v>
      </c>
      <c r="D23" s="508"/>
      <c r="E23" s="508"/>
      <c r="F23" s="508"/>
      <c r="G23" s="508"/>
      <c r="H23" s="508"/>
      <c r="I23" s="508"/>
      <c r="J23" s="508"/>
      <c r="K23" s="508"/>
      <c r="L23" s="508"/>
      <c r="M23" s="508"/>
      <c r="N23" s="508"/>
      <c r="O23" s="508"/>
      <c r="P23" s="508"/>
      <c r="Q23" s="508"/>
      <c r="R23" s="508"/>
      <c r="S23" s="508"/>
      <c r="T23" s="505"/>
    </row>
    <row r="24" ht="15.75" customHeight="1">
      <c r="A24" s="533" t="s">
        <v>1583</v>
      </c>
      <c r="B24" s="533" t="s">
        <v>1584</v>
      </c>
      <c r="C24" s="533" t="s">
        <v>1585</v>
      </c>
      <c r="D24" s="508"/>
      <c r="E24" s="508"/>
      <c r="F24" s="508"/>
      <c r="G24" s="508"/>
      <c r="H24" s="508"/>
      <c r="I24" s="508"/>
      <c r="J24" s="508"/>
      <c r="K24" s="508"/>
      <c r="L24" s="508"/>
      <c r="M24" s="508"/>
      <c r="N24" s="508"/>
      <c r="O24" s="508"/>
      <c r="P24" s="508"/>
      <c r="Q24" s="508"/>
      <c r="R24" s="508"/>
      <c r="S24" s="508"/>
      <c r="T24" s="505"/>
    </row>
    <row r="25" ht="15.75" customHeight="1">
      <c r="A25" s="533" t="s">
        <v>399</v>
      </c>
      <c r="B25" s="533" t="s">
        <v>400</v>
      </c>
      <c r="C25" s="533" t="s">
        <v>1586</v>
      </c>
      <c r="D25" s="508"/>
      <c r="E25" s="508"/>
      <c r="F25" s="508"/>
      <c r="G25" s="508"/>
      <c r="H25" s="508"/>
      <c r="I25" s="508"/>
      <c r="J25" s="508"/>
      <c r="K25" s="508"/>
      <c r="L25" s="508"/>
      <c r="M25" s="508"/>
      <c r="N25" s="508"/>
      <c r="O25" s="508"/>
      <c r="P25" s="508"/>
      <c r="Q25" s="508"/>
      <c r="R25" s="508"/>
      <c r="S25" s="508"/>
      <c r="T25" s="505"/>
    </row>
    <row r="26" ht="15.75" customHeight="1">
      <c r="A26" s="534" t="s">
        <v>363</v>
      </c>
      <c r="B26" s="534" t="s">
        <v>364</v>
      </c>
      <c r="C26" s="533" t="s">
        <v>365</v>
      </c>
      <c r="D26" s="508"/>
      <c r="E26" s="508"/>
      <c r="F26" s="508"/>
      <c r="G26" s="508"/>
      <c r="H26" s="508"/>
      <c r="I26" s="508"/>
      <c r="J26" s="508"/>
      <c r="K26" s="508"/>
      <c r="L26" s="508"/>
      <c r="M26" s="508"/>
      <c r="N26" s="508"/>
      <c r="O26" s="508"/>
      <c r="P26" s="508"/>
      <c r="Q26" s="508"/>
      <c r="R26" s="508"/>
      <c r="S26" s="508"/>
      <c r="T26" s="505"/>
    </row>
    <row r="27" ht="15.75" customHeight="1">
      <c r="A27" s="533" t="s">
        <v>1587</v>
      </c>
      <c r="B27" s="534" t="s">
        <v>1588</v>
      </c>
      <c r="C27" s="534" t="s">
        <v>1589</v>
      </c>
      <c r="D27" s="511" t="s">
        <v>1590</v>
      </c>
      <c r="E27" s="503" t="s">
        <v>1591</v>
      </c>
      <c r="F27" s="508"/>
      <c r="G27" s="508"/>
      <c r="H27" s="508"/>
      <c r="I27" s="508"/>
      <c r="J27" s="508"/>
      <c r="K27" s="508"/>
      <c r="L27" s="508"/>
      <c r="M27" s="508"/>
      <c r="N27" s="508"/>
      <c r="O27" s="508"/>
      <c r="P27" s="508"/>
      <c r="Q27" s="508"/>
      <c r="R27" s="508"/>
      <c r="S27" s="508"/>
      <c r="T27" s="505"/>
    </row>
    <row r="28" ht="15.75" customHeight="1">
      <c r="A28" s="534" t="s">
        <v>451</v>
      </c>
      <c r="B28" s="534" t="s">
        <v>452</v>
      </c>
      <c r="C28" s="535" t="s">
        <v>453</v>
      </c>
      <c r="D28" s="508"/>
      <c r="E28" s="508"/>
      <c r="F28" s="508"/>
      <c r="G28" s="508"/>
      <c r="H28" s="508"/>
      <c r="I28" s="508"/>
      <c r="J28" s="508"/>
      <c r="K28" s="508"/>
      <c r="L28" s="508"/>
      <c r="M28" s="508"/>
      <c r="N28" s="508"/>
      <c r="O28" s="508"/>
      <c r="P28" s="508"/>
      <c r="Q28" s="508"/>
      <c r="R28" s="508"/>
      <c r="S28" s="508"/>
      <c r="T28" s="505"/>
    </row>
    <row r="29" ht="15.75" customHeight="1">
      <c r="A29" s="533"/>
      <c r="B29" s="533"/>
      <c r="C29" s="533"/>
      <c r="D29" s="508"/>
      <c r="E29" s="508"/>
      <c r="F29" s="508"/>
      <c r="G29" s="508"/>
      <c r="H29" s="508"/>
      <c r="I29" s="508"/>
      <c r="J29" s="508"/>
      <c r="K29" s="508"/>
      <c r="L29" s="508"/>
      <c r="M29" s="508"/>
      <c r="N29" s="508"/>
      <c r="O29" s="508"/>
      <c r="P29" s="508"/>
      <c r="Q29" s="508"/>
      <c r="R29" s="508"/>
      <c r="S29" s="508"/>
      <c r="T29" s="505"/>
    </row>
    <row r="30" ht="15.75" customHeight="1">
      <c r="A30" s="513" t="s">
        <v>1592</v>
      </c>
      <c r="B30" s="513" t="s">
        <v>239</v>
      </c>
      <c r="C30" s="513" t="s">
        <v>240</v>
      </c>
      <c r="D30" s="513" t="s">
        <v>1555</v>
      </c>
      <c r="E30" s="513" t="s">
        <v>1556</v>
      </c>
      <c r="F30" s="508"/>
      <c r="G30" s="508"/>
      <c r="H30" s="508"/>
      <c r="I30" s="508"/>
      <c r="J30" s="508"/>
      <c r="K30" s="508"/>
      <c r="L30" s="508"/>
      <c r="M30" s="508"/>
      <c r="N30" s="508"/>
      <c r="O30" s="508"/>
      <c r="P30" s="508"/>
      <c r="Q30" s="508"/>
      <c r="R30" s="508"/>
      <c r="S30" s="508"/>
      <c r="T30" s="505"/>
    </row>
    <row r="31" ht="15.75" customHeight="1">
      <c r="A31" s="46" t="s">
        <v>1593</v>
      </c>
      <c r="B31" s="371" t="s">
        <v>462</v>
      </c>
      <c r="C31" s="371" t="s">
        <v>460</v>
      </c>
      <c r="D31" s="371" t="s">
        <v>1594</v>
      </c>
      <c r="E31" s="536" t="s">
        <v>459</v>
      </c>
      <c r="F31" s="371" t="s">
        <v>460</v>
      </c>
      <c r="G31" s="508"/>
      <c r="H31" s="508"/>
      <c r="I31" s="508"/>
      <c r="J31" s="508"/>
      <c r="K31" s="508"/>
      <c r="L31" s="508"/>
      <c r="M31" s="508"/>
      <c r="N31" s="508"/>
      <c r="O31" s="508"/>
      <c r="P31" s="508"/>
      <c r="Q31" s="508"/>
      <c r="R31" s="508"/>
      <c r="S31" s="508"/>
      <c r="T31" s="505"/>
    </row>
    <row r="32" ht="15.75" customHeight="1">
      <c r="A32" s="46" t="s">
        <v>1595</v>
      </c>
      <c r="B32" s="371" t="s">
        <v>1596</v>
      </c>
      <c r="C32" s="371" t="s">
        <v>460</v>
      </c>
      <c r="D32" s="371" t="s">
        <v>1597</v>
      </c>
      <c r="E32" s="508"/>
      <c r="F32" s="508"/>
      <c r="G32" s="508"/>
      <c r="H32" s="508"/>
      <c r="I32" s="508"/>
      <c r="J32" s="508"/>
      <c r="K32" s="508"/>
      <c r="L32" s="508"/>
      <c r="M32" s="508"/>
      <c r="N32" s="508"/>
      <c r="O32" s="508"/>
      <c r="P32" s="508"/>
      <c r="Q32" s="508"/>
      <c r="R32" s="508"/>
      <c r="S32" s="508"/>
      <c r="T32" s="505"/>
    </row>
    <row r="33" ht="15.75" customHeight="1">
      <c r="A33" s="46" t="s">
        <v>1161</v>
      </c>
      <c r="B33" s="371" t="s">
        <v>1142</v>
      </c>
      <c r="C33" s="371" t="s">
        <v>460</v>
      </c>
      <c r="D33" s="371" t="s">
        <v>1597</v>
      </c>
      <c r="E33" s="508"/>
      <c r="F33" s="508"/>
      <c r="G33" s="508"/>
      <c r="H33" s="508"/>
      <c r="I33" s="508"/>
      <c r="J33" s="508"/>
      <c r="K33" s="508"/>
      <c r="L33" s="508"/>
      <c r="M33" s="508"/>
      <c r="N33" s="508"/>
      <c r="O33" s="508"/>
      <c r="P33" s="508"/>
      <c r="Q33" s="508"/>
      <c r="R33" s="508"/>
      <c r="S33" s="508"/>
      <c r="T33" s="505"/>
    </row>
    <row r="34" ht="15.75" customHeight="1">
      <c r="A34" s="46" t="s">
        <v>1000</v>
      </c>
      <c r="B34" s="371" t="s">
        <v>1001</v>
      </c>
      <c r="C34" s="371" t="s">
        <v>1002</v>
      </c>
      <c r="D34" s="371"/>
      <c r="E34" s="508"/>
      <c r="F34" s="508"/>
      <c r="G34" s="508"/>
      <c r="H34" s="508"/>
      <c r="I34" s="508"/>
      <c r="J34" s="508"/>
      <c r="K34" s="508"/>
      <c r="L34" s="508"/>
      <c r="M34" s="508"/>
      <c r="N34" s="508"/>
      <c r="O34" s="508"/>
      <c r="P34" s="508"/>
      <c r="Q34" s="508"/>
      <c r="R34" s="508"/>
      <c r="S34" s="508"/>
      <c r="T34" s="505"/>
    </row>
    <row r="35" ht="15.75" customHeight="1">
      <c r="A35" s="46" t="s">
        <v>1598</v>
      </c>
      <c r="B35" s="530" t="s">
        <v>1599</v>
      </c>
      <c r="C35" s="501" t="s">
        <v>1598</v>
      </c>
      <c r="D35" s="371"/>
      <c r="E35" s="508"/>
      <c r="F35" s="508"/>
      <c r="G35" s="508"/>
      <c r="H35" s="508"/>
      <c r="I35" s="508"/>
      <c r="J35" s="508"/>
      <c r="K35" s="508"/>
      <c r="L35" s="508"/>
      <c r="M35" s="508"/>
      <c r="N35" s="508"/>
      <c r="O35" s="508"/>
      <c r="P35" s="508"/>
      <c r="Q35" s="508"/>
      <c r="R35" s="508"/>
      <c r="S35" s="508"/>
      <c r="T35" s="505"/>
    </row>
    <row r="36" ht="15.75" customHeight="1">
      <c r="A36" s="537" t="s">
        <v>1600</v>
      </c>
      <c r="B36" s="538" t="s">
        <v>1601</v>
      </c>
      <c r="C36" s="538" t="s">
        <v>1602</v>
      </c>
      <c r="D36" s="508"/>
      <c r="E36" s="508"/>
      <c r="F36" s="508"/>
      <c r="G36" s="508"/>
      <c r="H36" s="508"/>
      <c r="I36" s="508"/>
      <c r="J36" s="508"/>
      <c r="K36" s="508"/>
      <c r="L36" s="508"/>
      <c r="M36" s="508"/>
      <c r="N36" s="508"/>
      <c r="O36" s="508"/>
      <c r="P36" s="508"/>
      <c r="Q36" s="508"/>
      <c r="R36" s="508"/>
      <c r="S36" s="508"/>
      <c r="T36" s="505"/>
    </row>
    <row r="37" ht="15.75" customHeight="1">
      <c r="A37" s="538"/>
      <c r="B37" s="538"/>
      <c r="C37" s="538"/>
      <c r="D37" s="508"/>
      <c r="E37" s="508"/>
      <c r="F37" s="539"/>
      <c r="G37" s="508"/>
      <c r="H37" s="508"/>
      <c r="I37" s="508"/>
      <c r="J37" s="508"/>
      <c r="K37" s="508"/>
      <c r="L37" s="508"/>
      <c r="M37" s="508"/>
      <c r="N37" s="508"/>
      <c r="O37" s="508"/>
      <c r="P37" s="508"/>
      <c r="Q37" s="508"/>
      <c r="R37" s="508"/>
      <c r="S37" s="508"/>
      <c r="T37" s="505"/>
    </row>
    <row r="38" ht="15.75" customHeight="1">
      <c r="A38" s="538" t="s">
        <v>1074</v>
      </c>
      <c r="B38" s="538" t="s">
        <v>1075</v>
      </c>
      <c r="C38" s="538" t="s">
        <v>1076</v>
      </c>
      <c r="D38" s="508"/>
      <c r="E38" s="508"/>
      <c r="F38" s="539"/>
      <c r="G38" s="508"/>
      <c r="H38" s="508"/>
      <c r="I38" s="508"/>
      <c r="J38" s="508"/>
      <c r="K38" s="508"/>
      <c r="L38" s="508"/>
      <c r="M38" s="508"/>
      <c r="N38" s="508"/>
      <c r="O38" s="508"/>
      <c r="P38" s="508"/>
      <c r="Q38" s="508"/>
      <c r="R38" s="508"/>
      <c r="S38" s="508"/>
      <c r="T38" s="505"/>
    </row>
    <row r="39" ht="15.75" customHeight="1">
      <c r="A39" s="538" t="s">
        <v>1603</v>
      </c>
      <c r="B39" s="538" t="s">
        <v>1033</v>
      </c>
      <c r="C39" s="538" t="s">
        <v>1604</v>
      </c>
      <c r="D39" s="508"/>
      <c r="E39" s="517" t="str">
        <f>HYPERLINK("http://cc2.evony.com/s.html?loginid=757365726e616d653d6d697374657273657267696f313340676d61696c2e636f6d2670617373776f72643d73746576653132332669703d3231362e36362e362e313135267265673d30&amp;adv=www_evony_com_inde","http://cc2.evony.com/s.html?loginid=757365726e616d653d6d697374657273657267696f313340676d61696c2e636f6d2670617373776f72643d73746576653132332669703d3231362e36362e362e313135267265673d30&amp;adv=www_evony_com_inde")</f>
        <v>http://cc2.evony.com/s.html?loginid=757365726e616d653d6d697374657273657267696f313340676d61696c2e636f6d2670617373776f72643d73746576653132332669703d3231362e36362e362e313135267265673d30&amp;adv=www_evony_com_inde</v>
      </c>
      <c r="F39" s="539"/>
      <c r="G39" s="508"/>
      <c r="H39" s="508"/>
      <c r="I39" s="508"/>
      <c r="J39" s="508"/>
      <c r="K39" s="508"/>
      <c r="L39" s="508"/>
      <c r="M39" s="508"/>
      <c r="N39" s="508"/>
      <c r="O39" s="508"/>
      <c r="P39" s="508"/>
      <c r="Q39" s="508"/>
      <c r="R39" s="508"/>
      <c r="S39" s="508"/>
      <c r="T39" s="505"/>
    </row>
    <row r="40" ht="15.75" customHeight="1">
      <c r="A40" s="538" t="s">
        <v>1605</v>
      </c>
      <c r="B40" s="538" t="s">
        <v>1029</v>
      </c>
      <c r="C40" s="538" t="s">
        <v>1030</v>
      </c>
      <c r="D40" s="508"/>
      <c r="E40" s="508"/>
      <c r="F40" s="539"/>
      <c r="G40" s="508"/>
      <c r="H40" s="508"/>
      <c r="I40" s="508"/>
      <c r="J40" s="508"/>
      <c r="K40" s="508"/>
      <c r="L40" s="508"/>
      <c r="M40" s="508"/>
      <c r="N40" s="508"/>
      <c r="O40" s="508"/>
      <c r="P40" s="508"/>
      <c r="Q40" s="508"/>
      <c r="R40" s="508"/>
      <c r="S40" s="508"/>
      <c r="T40" s="505"/>
    </row>
    <row r="41" ht="15.75" customHeight="1">
      <c r="A41" s="538" t="s">
        <v>1606</v>
      </c>
      <c r="B41" s="538" t="s">
        <v>1607</v>
      </c>
      <c r="C41" s="537" t="s">
        <v>1608</v>
      </c>
      <c r="D41" s="508"/>
      <c r="E41" s="508"/>
      <c r="F41" s="539"/>
      <c r="G41" s="508"/>
      <c r="H41" s="508"/>
      <c r="I41" s="508"/>
      <c r="J41" s="508"/>
      <c r="K41" s="508"/>
      <c r="L41" s="508"/>
      <c r="M41" s="508"/>
      <c r="N41" s="508"/>
      <c r="O41" s="508"/>
      <c r="P41" s="508"/>
      <c r="Q41" s="508"/>
      <c r="R41" s="508"/>
      <c r="S41" s="508"/>
      <c r="T41" s="505"/>
    </row>
    <row r="42" ht="15.75" customHeight="1">
      <c r="A42" s="538" t="s">
        <v>480</v>
      </c>
      <c r="B42" s="538" t="s">
        <v>336</v>
      </c>
      <c r="C42" s="538" t="s">
        <v>1609</v>
      </c>
      <c r="D42" s="508"/>
      <c r="E42" s="508"/>
      <c r="F42" s="539"/>
      <c r="G42" s="508"/>
      <c r="H42" s="508"/>
      <c r="I42" s="508"/>
      <c r="J42" s="508"/>
      <c r="K42" s="508"/>
      <c r="L42" s="508"/>
      <c r="M42" s="508"/>
      <c r="N42" s="508"/>
      <c r="O42" s="508"/>
      <c r="P42" s="508"/>
      <c r="Q42" s="508"/>
      <c r="R42" s="508"/>
      <c r="S42" s="508"/>
      <c r="T42" s="505"/>
    </row>
    <row r="43" ht="15.75" customHeight="1">
      <c r="A43" s="46"/>
      <c r="B43" s="46"/>
      <c r="C43" s="46"/>
      <c r="E43" s="508"/>
      <c r="F43" s="539"/>
      <c r="G43" s="508"/>
      <c r="H43" s="508"/>
      <c r="I43" s="508"/>
      <c r="J43" s="508"/>
      <c r="K43" s="508"/>
      <c r="L43" s="508"/>
      <c r="M43" s="508"/>
      <c r="N43" s="508"/>
      <c r="O43" s="508"/>
      <c r="P43" s="508"/>
      <c r="Q43" s="508"/>
      <c r="R43" s="508"/>
      <c r="S43" s="508"/>
      <c r="T43" s="505"/>
    </row>
    <row r="44" ht="15.75" customHeight="1">
      <c r="A44" s="46" t="s">
        <v>1610</v>
      </c>
      <c r="B44" s="46" t="s">
        <v>1611</v>
      </c>
      <c r="C44" s="46">
        <v>196721.0</v>
      </c>
      <c r="D44" s="508"/>
      <c r="E44" s="508"/>
      <c r="F44" s="539"/>
      <c r="G44" s="508"/>
      <c r="H44" s="508"/>
      <c r="I44" s="508"/>
      <c r="J44" s="508"/>
      <c r="K44" s="508"/>
      <c r="L44" s="508"/>
      <c r="M44" s="508"/>
      <c r="N44" s="508"/>
      <c r="O44" s="508"/>
      <c r="P44" s="508"/>
      <c r="Q44" s="508"/>
      <c r="R44" s="508"/>
      <c r="S44" s="508"/>
      <c r="T44" s="505"/>
    </row>
    <row r="45" ht="15.75" customHeight="1">
      <c r="A45" s="537" t="s">
        <v>345</v>
      </c>
      <c r="B45" s="537" t="s">
        <v>347</v>
      </c>
      <c r="C45" s="537" t="s">
        <v>1612</v>
      </c>
      <c r="D45" s="511"/>
      <c r="E45" s="508"/>
      <c r="F45" s="539"/>
      <c r="G45" s="508"/>
      <c r="H45" s="508"/>
      <c r="I45" s="508"/>
      <c r="J45" s="508"/>
      <c r="K45" s="508"/>
      <c r="L45" s="508"/>
      <c r="M45" s="508"/>
      <c r="N45" s="508"/>
      <c r="O45" s="508"/>
      <c r="P45" s="508"/>
      <c r="Q45" s="508"/>
      <c r="R45" s="508"/>
      <c r="S45" s="508"/>
      <c r="T45" s="505"/>
    </row>
    <row r="46" ht="15.75" customHeight="1">
      <c r="A46" s="537" t="s">
        <v>1613</v>
      </c>
      <c r="B46" s="537" t="s">
        <v>1614</v>
      </c>
      <c r="C46" s="530" t="s">
        <v>1615</v>
      </c>
      <c r="D46" s="508"/>
      <c r="E46" s="503" t="s">
        <v>1616</v>
      </c>
      <c r="F46" s="539"/>
      <c r="G46" s="508"/>
      <c r="H46" s="508"/>
      <c r="I46" s="508"/>
      <c r="J46" s="508"/>
      <c r="K46" s="508"/>
      <c r="L46" s="508"/>
      <c r="M46" s="508"/>
      <c r="N46" s="508"/>
      <c r="O46" s="508"/>
      <c r="P46" s="508"/>
      <c r="Q46" s="508"/>
      <c r="R46" s="508"/>
      <c r="S46" s="508"/>
      <c r="T46" s="505"/>
    </row>
    <row r="47" ht="15.75" customHeight="1">
      <c r="A47" s="538" t="s">
        <v>420</v>
      </c>
      <c r="B47" s="538" t="s">
        <v>421</v>
      </c>
      <c r="C47" s="538" t="s">
        <v>422</v>
      </c>
      <c r="D47" s="508"/>
      <c r="E47" s="508"/>
      <c r="F47" s="508"/>
      <c r="G47" s="508"/>
      <c r="H47" s="508"/>
      <c r="I47" s="508"/>
      <c r="J47" s="508"/>
      <c r="K47" s="508"/>
      <c r="L47" s="508"/>
      <c r="M47" s="508"/>
      <c r="N47" s="508"/>
      <c r="O47" s="508"/>
      <c r="P47" s="508"/>
      <c r="Q47" s="508"/>
      <c r="R47" s="508"/>
      <c r="S47" s="508"/>
      <c r="T47" s="505"/>
    </row>
    <row r="48" ht="15.75" customHeight="1">
      <c r="A48" s="538" t="s">
        <v>1617</v>
      </c>
      <c r="B48" s="538" t="s">
        <v>1618</v>
      </c>
      <c r="C48" s="538" t="s">
        <v>1619</v>
      </c>
      <c r="D48" s="508"/>
      <c r="E48" s="508"/>
      <c r="F48" s="508"/>
      <c r="G48" s="508"/>
      <c r="H48" s="508"/>
      <c r="I48" s="508"/>
      <c r="J48" s="508"/>
      <c r="K48" s="508"/>
      <c r="L48" s="508"/>
      <c r="M48" s="508"/>
      <c r="N48" s="508"/>
      <c r="O48" s="508"/>
      <c r="P48" s="508"/>
      <c r="Q48" s="508"/>
      <c r="R48" s="508"/>
      <c r="S48" s="508"/>
      <c r="T48" s="505"/>
    </row>
    <row r="49" ht="15.75" customHeight="1">
      <c r="A49" s="538" t="s">
        <v>1028</v>
      </c>
      <c r="B49" s="538" t="s">
        <v>1029</v>
      </c>
      <c r="C49" s="538" t="s">
        <v>1620</v>
      </c>
      <c r="D49" s="508"/>
      <c r="E49" s="508"/>
      <c r="F49" s="508"/>
      <c r="G49" s="508"/>
      <c r="H49" s="508"/>
      <c r="I49" s="508"/>
      <c r="J49" s="508"/>
      <c r="K49" s="508"/>
      <c r="L49" s="508"/>
      <c r="M49" s="508"/>
      <c r="N49" s="508"/>
      <c r="O49" s="508"/>
      <c r="P49" s="508"/>
      <c r="Q49" s="508"/>
      <c r="R49" s="508"/>
      <c r="S49" s="508"/>
      <c r="T49" s="505"/>
    </row>
    <row r="50" ht="15.75" customHeight="1">
      <c r="A50" s="537" t="s">
        <v>1621</v>
      </c>
      <c r="B50" s="537" t="s">
        <v>1622</v>
      </c>
      <c r="C50" s="537" t="s">
        <v>1623</v>
      </c>
      <c r="D50" s="508"/>
      <c r="E50" s="503" t="s">
        <v>1624</v>
      </c>
      <c r="F50" s="508"/>
      <c r="G50" s="508"/>
      <c r="H50" s="508"/>
      <c r="I50" s="508"/>
      <c r="J50" s="508"/>
      <c r="K50" s="508"/>
      <c r="L50" s="508"/>
      <c r="M50" s="508"/>
      <c r="N50" s="508"/>
      <c r="O50" s="508"/>
      <c r="P50" s="508"/>
      <c r="Q50" s="508"/>
      <c r="R50" s="508"/>
      <c r="S50" s="508"/>
      <c r="T50" s="505"/>
    </row>
    <row r="51" ht="15.75" customHeight="1">
      <c r="A51" s="540" t="s">
        <v>396</v>
      </c>
      <c r="B51" s="540" t="s">
        <v>397</v>
      </c>
      <c r="C51" s="540" t="s">
        <v>398</v>
      </c>
      <c r="D51" s="511" t="s">
        <v>1625</v>
      </c>
      <c r="E51" s="508"/>
      <c r="F51" s="508"/>
      <c r="G51" s="508"/>
      <c r="H51" s="508"/>
      <c r="I51" s="508"/>
      <c r="J51" s="508"/>
      <c r="K51" s="508"/>
      <c r="L51" s="508"/>
      <c r="M51" s="508"/>
      <c r="N51" s="508"/>
      <c r="O51" s="508"/>
      <c r="P51" s="508"/>
      <c r="Q51" s="508"/>
      <c r="R51" s="508"/>
      <c r="S51" s="508"/>
      <c r="T51" s="505"/>
    </row>
    <row r="52" ht="15.75" customHeight="1">
      <c r="A52" s="540" t="s">
        <v>1626</v>
      </c>
      <c r="B52" s="540" t="s">
        <v>1627</v>
      </c>
      <c r="C52" s="540" t="s">
        <v>1628</v>
      </c>
      <c r="D52" s="508"/>
      <c r="E52" s="508"/>
      <c r="F52" s="508"/>
      <c r="G52" s="508"/>
      <c r="H52" s="508"/>
      <c r="I52" s="508"/>
      <c r="J52" s="508"/>
      <c r="K52" s="508"/>
      <c r="L52" s="508"/>
      <c r="M52" s="508"/>
      <c r="N52" s="508"/>
      <c r="O52" s="508"/>
      <c r="P52" s="508"/>
      <c r="Q52" s="508"/>
      <c r="R52" s="508"/>
      <c r="S52" s="508"/>
      <c r="T52" s="505"/>
    </row>
    <row r="53" ht="15.75" customHeight="1">
      <c r="A53" s="540" t="s">
        <v>1629</v>
      </c>
      <c r="B53" s="540" t="s">
        <v>1630</v>
      </c>
      <c r="C53" s="540" t="s">
        <v>1631</v>
      </c>
      <c r="D53" s="508"/>
      <c r="E53" s="530"/>
      <c r="F53" s="508"/>
      <c r="G53" s="508"/>
      <c r="H53" s="508"/>
      <c r="I53" s="508"/>
      <c r="J53" s="508"/>
      <c r="K53" s="508"/>
      <c r="L53" s="508"/>
      <c r="M53" s="508"/>
      <c r="N53" s="508"/>
      <c r="O53" s="508"/>
      <c r="P53" s="508"/>
      <c r="Q53" s="508"/>
      <c r="R53" s="508"/>
      <c r="S53" s="508"/>
      <c r="T53" s="505"/>
    </row>
    <row r="54" ht="15.75" customHeight="1">
      <c r="A54" s="538" t="s">
        <v>1632</v>
      </c>
      <c r="B54" s="538" t="s">
        <v>1633</v>
      </c>
      <c r="C54" s="538" t="s">
        <v>1634</v>
      </c>
      <c r="D54" s="511" t="s">
        <v>12</v>
      </c>
      <c r="E54" s="508"/>
      <c r="F54" s="508"/>
      <c r="G54" s="508"/>
      <c r="H54" s="508"/>
      <c r="I54" s="503" t="s">
        <v>1575</v>
      </c>
      <c r="J54" s="508"/>
      <c r="K54" s="508"/>
      <c r="L54" s="508"/>
      <c r="M54" s="508"/>
      <c r="N54" s="508"/>
      <c r="O54" s="508"/>
      <c r="P54" s="508"/>
      <c r="Q54" s="508"/>
      <c r="R54" s="508"/>
      <c r="S54" s="508"/>
      <c r="T54" s="505"/>
    </row>
    <row r="55" ht="15.75" customHeight="1">
      <c r="A55" s="541" t="s">
        <v>1635</v>
      </c>
      <c r="B55" s="542" t="s">
        <v>1636</v>
      </c>
      <c r="C55" s="542" t="s">
        <v>1637</v>
      </c>
      <c r="D55" s="543"/>
      <c r="E55" s="544"/>
      <c r="F55" s="544"/>
      <c r="G55" s="508"/>
      <c r="H55" s="508"/>
      <c r="I55" s="508"/>
      <c r="J55" s="508"/>
      <c r="K55" s="508"/>
      <c r="L55" s="508"/>
      <c r="M55" s="508"/>
      <c r="N55" s="508"/>
      <c r="O55" s="508"/>
      <c r="P55" s="508"/>
      <c r="Q55" s="508"/>
      <c r="R55" s="508"/>
      <c r="S55" s="508"/>
      <c r="T55" s="505"/>
    </row>
    <row r="56" ht="15.75" customHeight="1">
      <c r="A56" s="541" t="s">
        <v>1638</v>
      </c>
      <c r="B56" s="541" t="s">
        <v>1639</v>
      </c>
      <c r="C56" s="541" t="s">
        <v>1640</v>
      </c>
      <c r="D56" s="543"/>
      <c r="E56" s="544"/>
      <c r="F56" s="544"/>
      <c r="G56" s="508"/>
      <c r="H56" s="508"/>
      <c r="I56" s="508"/>
      <c r="J56" s="508"/>
      <c r="K56" s="508"/>
      <c r="L56" s="508"/>
      <c r="M56" s="508"/>
      <c r="N56" s="508"/>
      <c r="O56" s="508"/>
      <c r="P56" s="508"/>
      <c r="Q56" s="508"/>
      <c r="R56" s="508"/>
      <c r="S56" s="508"/>
      <c r="T56" s="505"/>
    </row>
    <row r="57" ht="15.75" customHeight="1">
      <c r="A57" s="513" t="s">
        <v>1641</v>
      </c>
      <c r="B57" s="513" t="s">
        <v>239</v>
      </c>
      <c r="C57" s="513" t="s">
        <v>240</v>
      </c>
      <c r="D57" s="513" t="s">
        <v>1555</v>
      </c>
      <c r="E57" s="513" t="s">
        <v>1556</v>
      </c>
      <c r="F57" s="513" t="s">
        <v>1642</v>
      </c>
      <c r="G57" s="508"/>
      <c r="H57" s="508"/>
      <c r="I57" s="508"/>
      <c r="J57" s="508"/>
      <c r="K57" s="508"/>
      <c r="L57" s="508"/>
      <c r="M57" s="508"/>
      <c r="N57" s="508"/>
      <c r="O57" s="508"/>
      <c r="P57" s="508"/>
      <c r="Q57" s="508"/>
      <c r="R57" s="508"/>
      <c r="S57" s="508"/>
      <c r="T57" s="505"/>
    </row>
    <row r="58" ht="15.75" customHeight="1">
      <c r="A58" s="545" t="s">
        <v>1643</v>
      </c>
      <c r="B58" s="546" t="s">
        <v>1644</v>
      </c>
      <c r="C58" s="545" t="s">
        <v>1645</v>
      </c>
      <c r="D58" s="513"/>
      <c r="E58" s="513"/>
      <c r="F58" s="513"/>
      <c r="G58" s="508"/>
      <c r="H58" s="508"/>
      <c r="I58" s="508"/>
      <c r="J58" s="508"/>
      <c r="K58" s="508"/>
      <c r="L58" s="508"/>
      <c r="M58" s="508"/>
      <c r="N58" s="508"/>
      <c r="O58" s="508"/>
      <c r="P58" s="508"/>
      <c r="Q58" s="508"/>
      <c r="R58" s="508"/>
      <c r="S58" s="508"/>
      <c r="T58" s="505"/>
    </row>
    <row r="59" ht="15.75" customHeight="1">
      <c r="A59" s="547" t="s">
        <v>341</v>
      </c>
      <c r="B59" s="511" t="s">
        <v>342</v>
      </c>
      <c r="C59" s="511" t="s">
        <v>343</v>
      </c>
      <c r="D59" s="548" t="s">
        <v>1646</v>
      </c>
      <c r="E59" s="517" t="str">
        <f>HYPERLINK("http://cc2.evony.com/s.html?loginid=757365726e616d653d6d687069726f6f7a40676d61696c2e636f6d2670617373776f72643d42616e6b6169212669703d3231362e36362e362e313135267265673d30&amp;adv=www_evony_com_inde","http://cc2.evony.com/s.html?loginid=757365726e616d653d6d687069726f6f7a40676d61696c2e636f6d2670617373776f72643d42616e6b6169212669703d3231362e36362e362e313135267265673d30&amp;adv=www_evony_com_inde")</f>
        <v>http://cc2.evony.com/s.html?loginid=757365726e616d653d6d687069726f6f7a40676d61696c2e636f6d2670617373776f72643d42616e6b6169212669703d3231362e36362e362e313135267265673d30&amp;adv=www_evony_com_inde</v>
      </c>
      <c r="F59" s="520"/>
      <c r="G59" s="508"/>
      <c r="H59" s="508"/>
      <c r="I59" s="508"/>
      <c r="J59" s="503" t="s">
        <v>1647</v>
      </c>
      <c r="K59" s="508" t="str">
        <f t="shared" ref="K59:K75" si="1">(A59)</f>
        <v>DamnedByDesign</v>
      </c>
      <c r="L59" s="503" t="s">
        <v>1648</v>
      </c>
      <c r="M59" s="508"/>
      <c r="N59" s="508"/>
      <c r="O59" s="508"/>
      <c r="P59" s="508"/>
      <c r="Q59" s="508"/>
      <c r="R59" s="508"/>
      <c r="S59" s="508"/>
      <c r="T59" s="505"/>
    </row>
    <row r="60" ht="15.75" customHeight="1">
      <c r="A60" s="549" t="s">
        <v>1649</v>
      </c>
      <c r="B60" s="540" t="s">
        <v>1650</v>
      </c>
      <c r="C60" s="540" t="s">
        <v>1651</v>
      </c>
      <c r="D60" s="548" t="s">
        <v>1652</v>
      </c>
      <c r="E60" s="517" t="str">
        <f>HYPERLINK("http://cc2.evony.com/s.html?loginid=757365726e616d653d6175646479663840686f746d61696c2e636f6d2670617373776f72643d42616e6b6169212669703d3231362e36362e362e313135267265673d30&amp;adv=www_evony_com_inde","http://cc2.evony.com/s.html?loginid=757365726e616d653d6175646479663840686f746d61696c2e636f6d2670617373776f72643d42616e6b6169212669703d3231362e36362e362e313135267265673d30&amp;adv=www_evony_com_inde")</f>
        <v>http://cc2.evony.com/s.html?loginid=757365726e616d653d6175646479663840686f746d61696c2e636f6d2670617373776f72643d42616e6b6169212669703d3231362e36362e362e313135267265673d30&amp;adv=www_evony_com_inde</v>
      </c>
      <c r="F60" s="511"/>
      <c r="G60" s="508"/>
      <c r="H60" s="508"/>
      <c r="I60" s="503" t="s">
        <v>1575</v>
      </c>
      <c r="J60" s="503" t="s">
        <v>1647</v>
      </c>
      <c r="K60" s="508" t="str">
        <f t="shared" si="1"/>
        <v>Shihoin Yoruichi</v>
      </c>
      <c r="L60" s="503" t="s">
        <v>1648</v>
      </c>
      <c r="M60" s="508"/>
      <c r="N60" s="508"/>
      <c r="O60" s="508"/>
      <c r="P60" s="508"/>
      <c r="Q60" s="508"/>
      <c r="R60" s="508"/>
      <c r="S60" s="508"/>
      <c r="T60" s="505"/>
    </row>
    <row r="61" ht="15.75" customHeight="1">
      <c r="A61" s="547" t="s">
        <v>1653</v>
      </c>
      <c r="B61" s="511" t="s">
        <v>1654</v>
      </c>
      <c r="C61" s="511" t="s">
        <v>1651</v>
      </c>
      <c r="D61" s="548" t="s">
        <v>1655</v>
      </c>
      <c r="E61" s="517" t="str">
        <f>HYPERLINK("http://cc2.evony.com/s.html?loginid=757365726e616d653d666d6261303735313440626c7565796f6e6465722e636f2e756b2670617373776f72643d42616e6b6169212669703d3231362e36362e362e313135267265673d30&amp;adv=www_evony_com_inde","http://cc2.evony.com/s.html?loginid=757365726e616d653d666d6261303735313440626c7565796f6e6465722e636f2e756b2670617373776f72643d42616e6b6169212669703d3231362e36362e362e313135267265673d30&amp;adv=www_evony_com_inde")</f>
        <v>http://cc2.evony.com/s.html?loginid=757365726e616d653d666d6261303735313440626c7565796f6e6465722e636f2e756b2670617373776f72643d42616e6b6169212669703d3231362e36362e362e313135267265673d30&amp;adv=www_evony_com_inde</v>
      </c>
      <c r="F61" s="511"/>
      <c r="G61" s="508"/>
      <c r="H61" s="508"/>
      <c r="I61" s="503" t="s">
        <v>1575</v>
      </c>
      <c r="J61" s="503" t="s">
        <v>1647</v>
      </c>
      <c r="K61" s="508" t="str">
        <f t="shared" si="1"/>
        <v>Abarai Renji</v>
      </c>
      <c r="L61" s="503" t="s">
        <v>1648</v>
      </c>
      <c r="M61" s="508"/>
      <c r="N61" s="508"/>
      <c r="O61" s="508"/>
      <c r="P61" s="508"/>
      <c r="Q61" s="508"/>
      <c r="R61" s="508"/>
      <c r="S61" s="508"/>
      <c r="T61" s="505"/>
    </row>
    <row r="62" ht="15.75" customHeight="1">
      <c r="A62" s="549" t="s">
        <v>1656</v>
      </c>
      <c r="B62" s="540" t="s">
        <v>1657</v>
      </c>
      <c r="C62" s="540" t="s">
        <v>1651</v>
      </c>
      <c r="D62" s="548" t="s">
        <v>1652</v>
      </c>
      <c r="E62" s="517" t="str">
        <f>HYPERLINK("http://cc2.evony.com/s.html?loginid=757365726e616d653d79616e746f3240686f746d61696c2e636f6d2670617373776f72643d42616e6b6169212669703d3231362e36362e362e313135267265673d30&amp;adv=www_evony_com_inde","http://cc2.evony.com/s.html?loginid=757365726e616d653d79616e746f3240686f746d61696c2e636f6d2670617373776f72643d42616e6b6169212669703d3231362e36362e362e313135267265673d30&amp;adv=www_evony_com_inde")</f>
        <v>http://cc2.evony.com/s.html?loginid=757365726e616d653d79616e746f3240686f746d61696c2e636f6d2670617373776f72643d42616e6b6169212669703d3231362e36362e362e313135267265673d30&amp;adv=www_evony_com_inde</v>
      </c>
      <c r="F62" s="511"/>
      <c r="G62" s="508"/>
      <c r="H62" s="508"/>
      <c r="I62" s="503" t="s">
        <v>1575</v>
      </c>
      <c r="J62" s="503" t="s">
        <v>1647</v>
      </c>
      <c r="K62" s="508" t="str">
        <f t="shared" si="1"/>
        <v>Kano Ashido</v>
      </c>
      <c r="L62" s="503" t="s">
        <v>1648</v>
      </c>
      <c r="M62" s="508"/>
      <c r="N62" s="508"/>
      <c r="O62" s="508"/>
      <c r="P62" s="508"/>
      <c r="Q62" s="508"/>
      <c r="R62" s="508"/>
      <c r="S62" s="508"/>
      <c r="T62" s="505"/>
    </row>
    <row r="63" ht="15.75" customHeight="1">
      <c r="A63" s="501" t="s">
        <v>1658</v>
      </c>
      <c r="B63" s="527" t="s">
        <v>456</v>
      </c>
      <c r="C63" s="501" t="s">
        <v>1573</v>
      </c>
      <c r="D63" s="548" t="s">
        <v>1659</v>
      </c>
      <c r="E63" s="517" t="str">
        <f>HYPERLINK("http://cc2.evony.com/s.html?loginid=757365726e616d653d647331306361407961686f6f2e636f6d2670617373776f72643d42616e6b6169212669703d3231362e36362e362e313135267265673d30&amp;adv=www_evony_com_inde","http://cc2.evony.com/s.html?loginid=757365726e616d653d647331306361407961686f6f2e636f6d2670617373776f72643d42616e6b6169212669703d3231362e36362e362e313135267265673d30&amp;adv=www_evony_com_inde")</f>
        <v>http://cc2.evony.com/s.html?loginid=757365726e616d653d647331306361407961686f6f2e636f6d2670617373776f72643d42616e6b6169212669703d3231362e36362e362e313135267265673d30&amp;adv=www_evony_com_inde</v>
      </c>
      <c r="F63" s="511"/>
      <c r="G63" s="520"/>
      <c r="H63" s="520"/>
      <c r="I63" s="508"/>
      <c r="J63" s="503" t="s">
        <v>1647</v>
      </c>
      <c r="K63" s="508" t="str">
        <f t="shared" si="1"/>
        <v>Zaraki Kenpachi</v>
      </c>
      <c r="L63" s="503" t="s">
        <v>1648</v>
      </c>
      <c r="M63" s="508"/>
      <c r="N63" s="508"/>
      <c r="O63" s="508"/>
      <c r="P63" s="508"/>
      <c r="Q63" s="508"/>
      <c r="R63" s="508"/>
      <c r="S63" s="508"/>
      <c r="T63" s="505"/>
    </row>
    <row r="64" ht="15.75" customHeight="1">
      <c r="A64" s="550" t="s">
        <v>1660</v>
      </c>
      <c r="B64" s="511" t="s">
        <v>1661</v>
      </c>
      <c r="C64" s="511" t="s">
        <v>1662</v>
      </c>
      <c r="D64" s="548" t="s">
        <v>1659</v>
      </c>
      <c r="E64" s="551" t="s">
        <v>1663</v>
      </c>
      <c r="F64" s="512" t="s">
        <v>1664</v>
      </c>
      <c r="G64" s="508"/>
      <c r="H64" s="508"/>
      <c r="I64" s="503" t="s">
        <v>1575</v>
      </c>
      <c r="J64" s="503" t="s">
        <v>1647</v>
      </c>
      <c r="K64" s="508" t="str">
        <f t="shared" si="1"/>
        <v>Madarame Ikkaku</v>
      </c>
      <c r="L64" s="503" t="s">
        <v>1648</v>
      </c>
      <c r="M64" s="508"/>
      <c r="N64" s="508"/>
      <c r="O64" s="508"/>
      <c r="P64" s="508"/>
      <c r="Q64" s="508"/>
      <c r="R64" s="508"/>
      <c r="S64" s="508"/>
      <c r="T64" s="505"/>
    </row>
    <row r="65" ht="15.75" customHeight="1">
      <c r="A65" s="549" t="s">
        <v>1665</v>
      </c>
      <c r="B65" s="511" t="s">
        <v>1666</v>
      </c>
      <c r="C65" s="511" t="s">
        <v>1651</v>
      </c>
      <c r="D65" s="548" t="s">
        <v>1667</v>
      </c>
      <c r="E65" s="551" t="s">
        <v>1668</v>
      </c>
      <c r="F65" s="512"/>
      <c r="G65" s="508"/>
      <c r="H65" s="511" t="s">
        <v>1669</v>
      </c>
      <c r="I65" s="503" t="s">
        <v>1575</v>
      </c>
      <c r="J65" s="503" t="s">
        <v>1647</v>
      </c>
      <c r="K65" s="508" t="str">
        <f t="shared" si="1"/>
        <v>Kuchiki Koga</v>
      </c>
      <c r="L65" s="503" t="s">
        <v>1648</v>
      </c>
      <c r="M65" s="508"/>
      <c r="N65" s="508"/>
      <c r="O65" s="508"/>
      <c r="P65" s="508"/>
      <c r="Q65" s="508"/>
      <c r="R65" s="508"/>
      <c r="S65" s="508"/>
      <c r="T65" s="505"/>
    </row>
    <row r="66" ht="15.75" customHeight="1">
      <c r="A66" s="550" t="s">
        <v>1670</v>
      </c>
      <c r="B66" s="511" t="s">
        <v>1671</v>
      </c>
      <c r="C66" s="511" t="s">
        <v>1651</v>
      </c>
      <c r="D66" s="548" t="s">
        <v>1672</v>
      </c>
      <c r="E66" s="552" t="s">
        <v>1673</v>
      </c>
      <c r="F66" s="512"/>
      <c r="G66" s="508"/>
      <c r="H66" s="508"/>
      <c r="I66" s="503" t="s">
        <v>1575</v>
      </c>
      <c r="J66" s="503" t="s">
        <v>1647</v>
      </c>
      <c r="K66" s="508" t="str">
        <f t="shared" si="1"/>
        <v>Ichimaru Gin</v>
      </c>
      <c r="L66" s="503" t="s">
        <v>1648</v>
      </c>
      <c r="M66" s="508"/>
      <c r="N66" s="508"/>
      <c r="O66" s="508"/>
      <c r="P66" s="508"/>
      <c r="Q66" s="508"/>
      <c r="R66" s="508"/>
      <c r="S66" s="508"/>
      <c r="T66" s="505"/>
    </row>
    <row r="67" ht="15.75" customHeight="1">
      <c r="A67" s="550" t="s">
        <v>1674</v>
      </c>
      <c r="B67" s="511" t="s">
        <v>1675</v>
      </c>
      <c r="C67" s="511">
        <v>159753.0</v>
      </c>
      <c r="D67" s="548" t="s">
        <v>1676</v>
      </c>
      <c r="E67" s="517" t="str">
        <f>HYPERLINK("http://na1.evony.com/s.html?loginid=757365726e616d653d6e69636f6c61732e7a2e6c656f6e61726440676d61696c2e636f6d2670617373776f72643d3135393735332669703d3139392e3132372e35382e323038267265673d30&amp;adv=www_evony_com_inde","http://na1.evony.com/s.html?loginid=757365726e616d653d6e69636f6c61732e7a2e6c656f6e61726440676d61696c2e636f6d2670617373776f72643d3135393735332669703d3139392e3132372e35382e323038267265673d30&amp;adv=www_evony_com_inde")</f>
        <v>http://na1.evony.com/s.html?loginid=757365726e616d653d6e69636f6c61732e7a2e6c656f6e61726440676d61696c2e636f6d2670617373776f72643d3135393735332669703d3139392e3132372e35382e323038267265673d30&amp;adv=www_evony_com_inde</v>
      </c>
      <c r="F67" s="503" t="s">
        <v>1677</v>
      </c>
      <c r="G67" s="508"/>
      <c r="H67" s="508"/>
      <c r="I67" s="503" t="s">
        <v>1575</v>
      </c>
      <c r="J67" s="503" t="s">
        <v>1647</v>
      </c>
      <c r="K67" s="508" t="str">
        <f t="shared" si="1"/>
        <v>Ayasegawa Yumichika</v>
      </c>
      <c r="L67" s="503" t="s">
        <v>1648</v>
      </c>
      <c r="M67" s="508"/>
      <c r="N67" s="508"/>
      <c r="O67" s="508"/>
      <c r="P67" s="508"/>
      <c r="Q67" s="508"/>
      <c r="R67" s="508"/>
      <c r="S67" s="508"/>
      <c r="T67" s="505"/>
    </row>
    <row r="68" ht="15.75" customHeight="1">
      <c r="A68" s="549" t="s">
        <v>1678</v>
      </c>
      <c r="B68" s="511" t="s">
        <v>1679</v>
      </c>
      <c r="C68" s="511" t="s">
        <v>1651</v>
      </c>
      <c r="D68" s="548" t="s">
        <v>1680</v>
      </c>
      <c r="E68" s="517" t="str">
        <f>HYPERLINK("http://cc2.evony.com/s.html?loginid=757365726e616d653d6a6f6e39373931407961686f6f2e636f6d2670617373776f72643d42616e6b6169212669703d3231362e36362e362e313135267265673d30&amp;adv=www_evony_com_inde","http://cc2.evony.com/s.html?loginid=757365726e616d653d6a6f6e39373931407961686f6f2e636f6d2670617373776f72643d42616e6b6169212669703d3231362e36362e362e313135267265673d30&amp;adv=www_evony_com_inde")</f>
        <v>http://cc2.evony.com/s.html?loginid=757365726e616d653d6a6f6e39373931407961686f6f2e636f6d2670617373776f72643d42616e6b6169212669703d3231362e36362e362e313135267265673d30&amp;adv=www_evony_com_inde</v>
      </c>
      <c r="F68" s="511"/>
      <c r="G68" s="508"/>
      <c r="H68" s="508"/>
      <c r="I68" s="503" t="s">
        <v>1575</v>
      </c>
      <c r="J68" s="503" t="s">
        <v>1647</v>
      </c>
      <c r="K68" s="508" t="str">
        <f t="shared" si="1"/>
        <v>Tosen Kaname</v>
      </c>
      <c r="L68" s="503" t="s">
        <v>1648</v>
      </c>
      <c r="M68" s="508"/>
      <c r="N68" s="508"/>
      <c r="O68" s="508"/>
      <c r="P68" s="508"/>
      <c r="Q68" s="508"/>
      <c r="R68" s="508"/>
      <c r="S68" s="508"/>
      <c r="T68" s="505"/>
    </row>
    <row r="69" ht="15.75" customHeight="1">
      <c r="A69" s="512" t="s">
        <v>1681</v>
      </c>
      <c r="B69" s="511" t="s">
        <v>1682</v>
      </c>
      <c r="C69" s="512" t="s">
        <v>1683</v>
      </c>
      <c r="D69" s="548" t="s">
        <v>1667</v>
      </c>
      <c r="E69" s="551" t="s">
        <v>1684</v>
      </c>
      <c r="F69" s="553"/>
      <c r="G69" s="508"/>
      <c r="H69" s="508"/>
      <c r="I69" s="503" t="s">
        <v>1575</v>
      </c>
      <c r="J69" s="503" t="s">
        <v>1647</v>
      </c>
      <c r="K69" s="508" t="str">
        <f t="shared" si="1"/>
        <v>Matsumoto Rangiku</v>
      </c>
      <c r="L69" s="503" t="s">
        <v>1648</v>
      </c>
      <c r="M69" s="508"/>
      <c r="N69" s="508"/>
      <c r="O69" s="508"/>
      <c r="P69" s="508"/>
      <c r="Q69" s="508"/>
      <c r="R69" s="508"/>
      <c r="S69" s="508"/>
      <c r="T69" s="505"/>
    </row>
    <row r="70" ht="15.75" customHeight="1">
      <c r="A70" s="511" t="s">
        <v>1685</v>
      </c>
      <c r="B70" s="511" t="s">
        <v>1686</v>
      </c>
      <c r="C70" s="511" t="s">
        <v>1651</v>
      </c>
      <c r="D70" s="548" t="s">
        <v>1687</v>
      </c>
      <c r="E70" s="517" t="str">
        <f>HYPERLINK("http://cc2.evony.com/s.html?loginid=757365726e616d653d657268657474757340686f746d61696c2e636f6d2670617373776f72643d42616e6b6169212669703d3231362e36362e362e313135267265673d30&amp;adv=www_evony_com_inde","http://cc2.evony.com/s.html?loginid=757365726e616d653d657268657474757340686f746d61696c2e636f6d2670617373776f72643d42616e6b6169212669703d3231362e36362e362e313135267265673d30&amp;adv=www_evony_com_inde")</f>
        <v>http://cc2.evony.com/s.html?loginid=757365726e616d653d657268657474757340686f746d61696c2e636f6d2670617373776f72643d42616e6b6169212669703d3231362e36362e362e313135267265673d30&amp;adv=www_evony_com_inde</v>
      </c>
      <c r="F70" s="511"/>
      <c r="G70" s="508"/>
      <c r="H70" s="508"/>
      <c r="I70" s="508"/>
      <c r="J70" s="503" t="s">
        <v>1647</v>
      </c>
      <c r="K70" s="508" t="str">
        <f t="shared" si="1"/>
        <v>Erhettus</v>
      </c>
      <c r="L70" s="503" t="s">
        <v>1648</v>
      </c>
      <c r="M70" s="508"/>
      <c r="N70" s="508"/>
      <c r="O70" s="508"/>
      <c r="P70" s="508"/>
      <c r="Q70" s="508"/>
      <c r="R70" s="508"/>
      <c r="S70" s="508"/>
      <c r="T70" s="505"/>
    </row>
    <row r="71" ht="15.75" customHeight="1">
      <c r="A71" s="549" t="s">
        <v>1688</v>
      </c>
      <c r="B71" s="511" t="s">
        <v>1689</v>
      </c>
      <c r="C71" s="511" t="s">
        <v>1651</v>
      </c>
      <c r="D71" s="548" t="s">
        <v>909</v>
      </c>
      <c r="E71" s="517" t="str">
        <f>HYPERLINK("http://cc2.evony.com/s.html?loginid=757365726e616d653d6a6f6e3937393140676d61696c2e636f6d2670617373776f72643d42616e6b6169212669703d3231362e36362e362e313135267265673d30&amp;adv=www_evony_com_inde","http://cc2.evony.com/s.html?loginid=757365726e616d653d6a6f6e3937393140676d61696c2e636f6d2670617373776f72643d42616e6b6169212669703d3231362e36362e362e313135267265673d30&amp;adv=www_evony_com_inde")</f>
        <v>http://cc2.evony.com/s.html?loginid=757365726e616d653d6a6f6e3937393140676d61696c2e636f6d2670617373776f72643d42616e6b6169212669703d3231362e36362e362e313135267265673d30&amp;adv=www_evony_com_inde</v>
      </c>
      <c r="F71" s="511"/>
      <c r="G71" s="508"/>
      <c r="H71" s="508"/>
      <c r="I71" s="503" t="s">
        <v>1575</v>
      </c>
      <c r="J71" s="503" t="s">
        <v>1647</v>
      </c>
      <c r="K71" s="508" t="str">
        <f t="shared" si="1"/>
        <v>Yamamoto Genryusai Shigekuni</v>
      </c>
      <c r="L71" s="503" t="s">
        <v>1648</v>
      </c>
      <c r="M71" s="508"/>
      <c r="N71" s="508"/>
      <c r="O71" s="508"/>
      <c r="P71" s="508"/>
      <c r="Q71" s="508"/>
      <c r="R71" s="508"/>
      <c r="S71" s="508"/>
      <c r="T71" s="505"/>
    </row>
    <row r="72" ht="15.75" customHeight="1">
      <c r="A72" s="512" t="s">
        <v>1690</v>
      </c>
      <c r="B72" s="511" t="s">
        <v>1691</v>
      </c>
      <c r="C72" s="512" t="s">
        <v>1692</v>
      </c>
      <c r="D72" s="548" t="s">
        <v>1693</v>
      </c>
      <c r="E72" s="554" t="s">
        <v>1694</v>
      </c>
      <c r="F72" s="511"/>
      <c r="G72" s="508"/>
      <c r="H72" s="508"/>
      <c r="I72" s="503" t="s">
        <v>1575</v>
      </c>
      <c r="J72" s="503" t="s">
        <v>1647</v>
      </c>
      <c r="K72" s="508" t="str">
        <f t="shared" si="1"/>
        <v>Hitsugaya Toshiro</v>
      </c>
      <c r="L72" s="503" t="s">
        <v>1648</v>
      </c>
      <c r="M72" s="508"/>
      <c r="N72" s="508"/>
      <c r="O72" s="508"/>
      <c r="P72" s="508"/>
      <c r="Q72" s="508"/>
      <c r="R72" s="508"/>
      <c r="S72" s="508"/>
      <c r="T72" s="505"/>
    </row>
    <row r="73" ht="15.75" customHeight="1">
      <c r="A73" s="512" t="s">
        <v>1695</v>
      </c>
      <c r="B73" s="511" t="s">
        <v>1696</v>
      </c>
      <c r="C73" s="511" t="s">
        <v>1651</v>
      </c>
      <c r="D73" s="548" t="s">
        <v>1697</v>
      </c>
      <c r="E73" s="517" t="str">
        <f>HYPERLINK("http://cc2.evony.com/s.html?loginid=757365726e616d653d647233303065766f6e79407961686f6f2e636f6d2670617373776f72643d42616e6b6169212669703d3231362e36362e362e313135267265673d30&amp;adv=www_evony_com_inde","http://cc2.evony.com/s.html?loginid=757365726e616d653d647233303065766f6e79407961686f6f2e636f6d2670617373776f72643d42616e6b6169212669703d3231362e36362e362e313135267265673d30&amp;adv=www_evony_com_inde")</f>
        <v>http://cc2.evony.com/s.html?loginid=757365726e616d653d647233303065766f6e79407961686f6f2e636f6d2670617373776f72643d42616e6b6169212669703d3231362e36362e362e313135267265673d30&amp;adv=www_evony_com_inde</v>
      </c>
      <c r="F73" s="503"/>
      <c r="G73" s="508"/>
      <c r="H73" s="508"/>
      <c r="I73" s="503" t="s">
        <v>1575</v>
      </c>
      <c r="J73" s="503" t="s">
        <v>1647</v>
      </c>
      <c r="K73" s="508" t="str">
        <f t="shared" si="1"/>
        <v>Amagai Shusukei</v>
      </c>
      <c r="L73" s="503" t="s">
        <v>1648</v>
      </c>
      <c r="M73" s="508"/>
      <c r="N73" s="508"/>
      <c r="O73" s="508"/>
      <c r="P73" s="508"/>
      <c r="Q73" s="508"/>
      <c r="R73" s="508"/>
      <c r="S73" s="508"/>
      <c r="T73" s="505"/>
    </row>
    <row r="74" ht="15.75" customHeight="1">
      <c r="A74" s="511" t="s">
        <v>1698</v>
      </c>
      <c r="B74" s="511" t="s">
        <v>1699</v>
      </c>
      <c r="C74" s="511" t="s">
        <v>1700</v>
      </c>
      <c r="D74" s="548" t="s">
        <v>1701</v>
      </c>
      <c r="E74" s="517" t="str">
        <f>HYPERLINK("http://cc2.evony.com/s.html?loginid=757365726e616d653d6b656c76696e746873407961686f6f2e636f6d2670617373776f72643d53617368696d693931312669703d3231362e36362e362e313135267265673d30&amp;adv=www_evony_com_inde","http://cc2.evony.com/s.html?loginid=757365726e616d653d6b656c76696e746873407961686f6f2e636f6d2670617373776f72643d53617368696d693931312669703d3231362e36362e362e313135267265673d30&amp;adv=www_evony_com_inde")</f>
        <v>http://cc2.evony.com/s.html?loginid=757365726e616d653d6b656c76696e746873407961686f6f2e636f6d2670617373776f72643d53617368696d693931312669703d3231362e36362e362e313135267265673d30&amp;adv=www_evony_com_inde</v>
      </c>
      <c r="F74" s="511"/>
      <c r="G74" s="508"/>
      <c r="H74" s="508"/>
      <c r="I74" s="508"/>
      <c r="J74" s="503" t="s">
        <v>1647</v>
      </c>
      <c r="K74" s="508" t="str">
        <f t="shared" si="1"/>
        <v>Noggin</v>
      </c>
      <c r="L74" s="503" t="s">
        <v>1648</v>
      </c>
      <c r="M74" s="508"/>
      <c r="N74" s="508"/>
      <c r="O74" s="508"/>
      <c r="P74" s="508"/>
      <c r="Q74" s="508"/>
      <c r="R74" s="508"/>
      <c r="S74" s="508"/>
      <c r="T74" s="505"/>
    </row>
    <row r="75" ht="15.75" customHeight="1">
      <c r="A75" s="512" t="s">
        <v>1702</v>
      </c>
      <c r="B75" s="511" t="s">
        <v>1703</v>
      </c>
      <c r="C75" s="511" t="s">
        <v>1651</v>
      </c>
      <c r="D75" s="508"/>
      <c r="E75" s="551" t="s">
        <v>1704</v>
      </c>
      <c r="F75" s="512"/>
      <c r="G75" s="511" t="s">
        <v>1705</v>
      </c>
      <c r="H75" s="511" t="s">
        <v>1683</v>
      </c>
      <c r="I75" s="508"/>
      <c r="J75" s="503" t="s">
        <v>1647</v>
      </c>
      <c r="K75" s="508" t="str">
        <f t="shared" si="1"/>
        <v>KingGuy</v>
      </c>
      <c r="L75" s="503" t="s">
        <v>1648</v>
      </c>
      <c r="M75" s="508"/>
      <c r="N75" s="508"/>
      <c r="O75" s="508"/>
      <c r="P75" s="508"/>
      <c r="Q75" s="508"/>
      <c r="R75" s="508"/>
      <c r="S75" s="508"/>
      <c r="T75" s="505"/>
    </row>
    <row r="76" ht="15.75" customHeight="1">
      <c r="A76" s="537" t="s">
        <v>1706</v>
      </c>
      <c r="B76" s="537" t="s">
        <v>1707</v>
      </c>
      <c r="C76" s="511" t="s">
        <v>1651</v>
      </c>
      <c r="D76" s="540"/>
      <c r="E76" s="555"/>
      <c r="F76" s="540"/>
      <c r="G76" s="508"/>
      <c r="H76" s="508"/>
      <c r="I76" s="508"/>
      <c r="J76" s="503"/>
      <c r="K76" s="508"/>
      <c r="L76" s="503"/>
      <c r="M76" s="508"/>
      <c r="N76" s="508"/>
      <c r="O76" s="508"/>
      <c r="P76" s="508"/>
      <c r="Q76" s="508"/>
      <c r="R76" s="508"/>
      <c r="S76" s="508"/>
      <c r="T76" s="505"/>
    </row>
    <row r="77" ht="15.75" customHeight="1">
      <c r="A77" s="537" t="s">
        <v>1708</v>
      </c>
      <c r="B77" s="538" t="s">
        <v>1633</v>
      </c>
      <c r="C77" s="538" t="s">
        <v>1634</v>
      </c>
      <c r="D77" s="556" t="s">
        <v>1709</v>
      </c>
      <c r="E77" s="555"/>
      <c r="F77" s="540"/>
      <c r="G77" s="508"/>
      <c r="H77" s="508"/>
      <c r="I77" s="508"/>
      <c r="J77" s="503" t="s">
        <v>1647</v>
      </c>
      <c r="K77" s="508" t="str">
        <f t="shared" ref="K77:K80" si="2">(A77)</f>
        <v>Yachiru</v>
      </c>
      <c r="L77" s="503" t="s">
        <v>1648</v>
      </c>
      <c r="M77" s="508"/>
      <c r="N77" s="508"/>
      <c r="O77" s="508"/>
      <c r="P77" s="508"/>
      <c r="Q77" s="508"/>
      <c r="R77" s="508"/>
      <c r="S77" s="508"/>
      <c r="T77" s="505"/>
    </row>
    <row r="78" ht="15.75" customHeight="1">
      <c r="A78" s="512" t="s">
        <v>1710</v>
      </c>
      <c r="B78" s="511" t="s">
        <v>1711</v>
      </c>
      <c r="C78" s="511" t="s">
        <v>1651</v>
      </c>
      <c r="D78" s="508"/>
      <c r="E78" s="508"/>
      <c r="F78" s="511"/>
      <c r="G78" s="508"/>
      <c r="H78" s="508"/>
      <c r="I78" s="503" t="s">
        <v>1575</v>
      </c>
      <c r="J78" s="503" t="s">
        <v>1647</v>
      </c>
      <c r="K78" s="508" t="str">
        <f t="shared" si="2"/>
        <v>Nigeru</v>
      </c>
      <c r="L78" s="503" t="s">
        <v>1648</v>
      </c>
      <c r="M78" s="508"/>
      <c r="N78" s="508"/>
      <c r="O78" s="508"/>
      <c r="P78" s="508"/>
      <c r="Q78" s="508"/>
      <c r="R78" s="508"/>
      <c r="S78" s="508"/>
      <c r="T78" s="505"/>
    </row>
    <row r="79" ht="15.75" customHeight="1">
      <c r="A79" s="512" t="s">
        <v>1712</v>
      </c>
      <c r="B79" s="511" t="s">
        <v>1713</v>
      </c>
      <c r="C79" s="511" t="s">
        <v>1651</v>
      </c>
      <c r="D79" s="508"/>
      <c r="E79" s="508"/>
      <c r="F79" s="508"/>
      <c r="G79" s="508"/>
      <c r="H79" s="508"/>
      <c r="I79" s="508"/>
      <c r="J79" s="503" t="s">
        <v>1647</v>
      </c>
      <c r="K79" s="508" t="str">
        <f t="shared" si="2"/>
        <v>Hisagi Shuhei</v>
      </c>
      <c r="L79" s="503" t="s">
        <v>1648</v>
      </c>
      <c r="M79" s="508"/>
      <c r="N79" s="508"/>
      <c r="O79" s="508"/>
      <c r="P79" s="508"/>
      <c r="Q79" s="508"/>
      <c r="R79" s="508"/>
      <c r="S79" s="508"/>
      <c r="T79" s="505"/>
    </row>
    <row r="80" ht="15.75" customHeight="1">
      <c r="A80" s="512" t="s">
        <v>1714</v>
      </c>
      <c r="B80" s="511" t="s">
        <v>1715</v>
      </c>
      <c r="C80" s="511" t="s">
        <v>1651</v>
      </c>
      <c r="D80" s="508"/>
      <c r="F80" s="503" t="s">
        <v>1716</v>
      </c>
      <c r="G80" s="508"/>
      <c r="H80" s="508"/>
      <c r="I80" s="503" t="s">
        <v>1575</v>
      </c>
      <c r="J80" s="503" t="s">
        <v>1647</v>
      </c>
      <c r="K80" s="508" t="str">
        <f t="shared" si="2"/>
        <v>Kuchiki Byakuya</v>
      </c>
      <c r="L80" s="503" t="s">
        <v>1648</v>
      </c>
      <c r="M80" s="508"/>
      <c r="N80" s="508"/>
      <c r="O80" s="508"/>
      <c r="P80" s="508"/>
      <c r="Q80" s="508"/>
      <c r="R80" s="508"/>
      <c r="S80" s="508"/>
      <c r="T80" s="505"/>
    </row>
    <row r="81" ht="15.75" customHeight="1">
      <c r="A81" s="512" t="s">
        <v>1717</v>
      </c>
      <c r="B81" s="512" t="s">
        <v>1718</v>
      </c>
      <c r="C81" s="512" t="s">
        <v>1719</v>
      </c>
      <c r="D81" s="508"/>
      <c r="E81" s="508"/>
      <c r="F81" s="503"/>
      <c r="G81" s="508"/>
      <c r="H81" s="508"/>
      <c r="I81" s="503"/>
      <c r="J81" s="503"/>
      <c r="K81" s="508"/>
      <c r="L81" s="503"/>
      <c r="M81" s="508"/>
      <c r="N81" s="508"/>
      <c r="O81" s="508"/>
      <c r="P81" s="508"/>
      <c r="Q81" s="508"/>
      <c r="R81" s="508"/>
      <c r="S81" s="508"/>
      <c r="T81" s="505"/>
    </row>
    <row r="82" ht="15.75" customHeight="1">
      <c r="A82" s="512" t="s">
        <v>1720</v>
      </c>
      <c r="B82" s="512" t="s">
        <v>1721</v>
      </c>
      <c r="C82" s="512" t="s">
        <v>1719</v>
      </c>
      <c r="D82" s="508"/>
      <c r="E82" s="508"/>
      <c r="F82" s="503"/>
      <c r="G82" s="508"/>
      <c r="H82" s="508"/>
      <c r="I82" s="503"/>
      <c r="J82" s="503"/>
      <c r="K82" s="508"/>
      <c r="L82" s="503"/>
      <c r="M82" s="508"/>
      <c r="N82" s="508"/>
      <c r="O82" s="508"/>
      <c r="P82" s="508"/>
      <c r="Q82" s="508"/>
      <c r="R82" s="508"/>
      <c r="S82" s="508"/>
      <c r="T82" s="505"/>
    </row>
    <row r="83" ht="15.75" customHeight="1">
      <c r="A83" s="557" t="s">
        <v>1722</v>
      </c>
      <c r="B83" s="512" t="s">
        <v>1723</v>
      </c>
      <c r="C83" s="512" t="s">
        <v>1719</v>
      </c>
      <c r="D83" s="508"/>
      <c r="E83" s="508"/>
      <c r="F83" s="503"/>
      <c r="G83" s="508"/>
      <c r="H83" s="508"/>
      <c r="I83" s="503"/>
      <c r="J83" s="503"/>
      <c r="K83" s="508"/>
      <c r="L83" s="503"/>
      <c r="M83" s="508"/>
      <c r="N83" s="508"/>
      <c r="O83" s="508"/>
      <c r="P83" s="508"/>
      <c r="Q83" s="508"/>
      <c r="R83" s="508"/>
      <c r="S83" s="508"/>
      <c r="T83" s="505"/>
    </row>
    <row r="84" ht="15.75" customHeight="1">
      <c r="A84" s="557" t="s">
        <v>1724</v>
      </c>
      <c r="B84" s="512" t="s">
        <v>1725</v>
      </c>
      <c r="C84" s="512" t="s">
        <v>1719</v>
      </c>
      <c r="D84" s="508"/>
      <c r="E84" s="508"/>
      <c r="F84" s="503"/>
      <c r="G84" s="508"/>
      <c r="H84" s="508"/>
      <c r="I84" s="503"/>
      <c r="J84" s="503"/>
      <c r="K84" s="508"/>
      <c r="L84" s="503"/>
      <c r="M84" s="508"/>
      <c r="N84" s="508"/>
      <c r="O84" s="508"/>
      <c r="P84" s="508"/>
      <c r="Q84" s="508"/>
      <c r="R84" s="508"/>
      <c r="S84" s="508"/>
      <c r="T84" s="505"/>
    </row>
    <row r="85" ht="15.75" customHeight="1">
      <c r="A85" s="557" t="s">
        <v>1726</v>
      </c>
      <c r="B85" s="512" t="s">
        <v>1727</v>
      </c>
      <c r="C85" s="512" t="s">
        <v>1719</v>
      </c>
      <c r="D85" s="508"/>
      <c r="E85" s="508"/>
      <c r="F85" s="503"/>
      <c r="G85" s="508"/>
      <c r="H85" s="508"/>
      <c r="I85" s="503"/>
      <c r="J85" s="503"/>
      <c r="K85" s="508"/>
      <c r="L85" s="503"/>
      <c r="M85" s="508"/>
      <c r="N85" s="508"/>
      <c r="O85" s="508"/>
      <c r="P85" s="508"/>
      <c r="Q85" s="508"/>
      <c r="R85" s="508"/>
      <c r="S85" s="508"/>
      <c r="T85" s="505"/>
    </row>
    <row r="86" ht="15.75" customHeight="1">
      <c r="A86" s="557" t="s">
        <v>1728</v>
      </c>
      <c r="B86" s="512" t="s">
        <v>1729</v>
      </c>
      <c r="C86" s="512" t="s">
        <v>1719</v>
      </c>
      <c r="D86" s="508"/>
      <c r="E86" s="508"/>
      <c r="F86" s="503" t="s">
        <v>1730</v>
      </c>
      <c r="G86" s="508"/>
      <c r="H86" s="508"/>
      <c r="I86" s="503"/>
      <c r="J86" s="503"/>
      <c r="K86" s="508"/>
      <c r="L86" s="503"/>
      <c r="M86" s="508"/>
      <c r="N86" s="508"/>
      <c r="O86" s="508"/>
      <c r="P86" s="508"/>
      <c r="Q86" s="508"/>
      <c r="R86" s="508"/>
      <c r="S86" s="508"/>
      <c r="T86" s="505"/>
    </row>
    <row r="87" ht="15.75" customHeight="1">
      <c r="A87" s="512" t="s">
        <v>1731</v>
      </c>
      <c r="B87" s="512" t="s">
        <v>1732</v>
      </c>
      <c r="C87" s="512" t="s">
        <v>1637</v>
      </c>
      <c r="D87" s="508"/>
      <c r="E87" s="508"/>
      <c r="F87" s="503"/>
      <c r="G87" s="508"/>
      <c r="H87" s="508"/>
      <c r="I87" s="503"/>
      <c r="J87" s="503" t="s">
        <v>1647</v>
      </c>
      <c r="K87" s="508" t="str">
        <f t="shared" ref="K87:K92" si="3">(A87)</f>
        <v>YER0C</v>
      </c>
      <c r="L87" s="503" t="s">
        <v>1648</v>
      </c>
      <c r="M87" s="508"/>
      <c r="N87" s="508"/>
      <c r="O87" s="508"/>
      <c r="P87" s="508"/>
      <c r="Q87" s="508"/>
      <c r="R87" s="508"/>
      <c r="S87" s="508"/>
      <c r="T87" s="505"/>
    </row>
    <row r="88" ht="15.75" customHeight="1">
      <c r="A88" s="512" t="s">
        <v>1733</v>
      </c>
      <c r="B88" s="512" t="s">
        <v>1734</v>
      </c>
      <c r="C88" s="512" t="s">
        <v>1637</v>
      </c>
      <c r="D88" s="508"/>
      <c r="E88" s="508"/>
      <c r="F88" s="503"/>
      <c r="G88" s="508"/>
      <c r="H88" s="508"/>
      <c r="I88" s="503"/>
      <c r="J88" s="503" t="s">
        <v>1647</v>
      </c>
      <c r="K88" s="508" t="str">
        <f t="shared" si="3"/>
        <v>K1llshot</v>
      </c>
      <c r="L88" s="503" t="s">
        <v>1648</v>
      </c>
      <c r="M88" s="508"/>
      <c r="N88" s="508"/>
      <c r="O88" s="508"/>
      <c r="P88" s="508"/>
      <c r="Q88" s="508"/>
      <c r="R88" s="508"/>
      <c r="S88" s="508"/>
      <c r="T88" s="505"/>
    </row>
    <row r="89" ht="15.75" customHeight="1">
      <c r="A89" s="513" t="s">
        <v>1735</v>
      </c>
      <c r="B89" s="513" t="s">
        <v>239</v>
      </c>
      <c r="C89" s="513" t="s">
        <v>240</v>
      </c>
      <c r="D89" s="513" t="s">
        <v>1555</v>
      </c>
      <c r="E89" s="513" t="s">
        <v>1556</v>
      </c>
      <c r="F89" s="508"/>
      <c r="G89" s="508"/>
      <c r="H89" s="508"/>
      <c r="I89" s="508"/>
      <c r="J89" s="503" t="s">
        <v>1647</v>
      </c>
      <c r="K89" s="508" t="str">
        <f t="shared" si="3"/>
        <v>Inactives/Alts</v>
      </c>
      <c r="L89" s="503" t="s">
        <v>1648</v>
      </c>
      <c r="M89" s="508"/>
      <c r="N89" s="508"/>
      <c r="O89" s="508"/>
      <c r="P89" s="508"/>
      <c r="Q89" s="508"/>
      <c r="R89" s="508"/>
      <c r="S89" s="508"/>
      <c r="T89" s="505"/>
    </row>
    <row r="90" ht="15.75" customHeight="1">
      <c r="A90" s="537" t="s">
        <v>1736</v>
      </c>
      <c r="B90" s="538" t="s">
        <v>1737</v>
      </c>
      <c r="C90" s="538" t="s">
        <v>1738</v>
      </c>
      <c r="D90" s="512" t="s">
        <v>1739</v>
      </c>
      <c r="E90" s="508"/>
      <c r="F90" s="508"/>
      <c r="G90" s="508"/>
      <c r="H90" s="508"/>
      <c r="I90" s="508"/>
      <c r="J90" s="503" t="s">
        <v>1647</v>
      </c>
      <c r="K90" s="508" t="str">
        <f t="shared" si="3"/>
        <v>Chefrey</v>
      </c>
      <c r="L90" s="503" t="s">
        <v>1648</v>
      </c>
      <c r="M90" s="508"/>
      <c r="N90" s="508"/>
      <c r="O90" s="508"/>
      <c r="P90" s="508"/>
      <c r="Q90" s="508"/>
      <c r="R90" s="508"/>
      <c r="S90" s="508"/>
      <c r="T90" s="505"/>
    </row>
    <row r="91" ht="15.75" customHeight="1">
      <c r="A91" s="538" t="s">
        <v>1740</v>
      </c>
      <c r="B91" s="538" t="s">
        <v>391</v>
      </c>
      <c r="C91" s="537" t="s">
        <v>392</v>
      </c>
      <c r="D91" s="512" t="s">
        <v>1741</v>
      </c>
      <c r="E91" s="508"/>
      <c r="F91" s="508"/>
      <c r="G91" s="508"/>
      <c r="H91" s="508"/>
      <c r="I91" s="503" t="s">
        <v>1575</v>
      </c>
      <c r="J91" s="503" t="s">
        <v>1647</v>
      </c>
      <c r="K91" s="508" t="str">
        <f t="shared" si="3"/>
        <v>Legume</v>
      </c>
      <c r="L91" s="503" t="s">
        <v>1648</v>
      </c>
      <c r="M91" s="508"/>
      <c r="N91" s="508"/>
      <c r="O91" s="508"/>
      <c r="P91" s="508"/>
      <c r="Q91" s="508"/>
      <c r="R91" s="508"/>
      <c r="S91" s="508"/>
      <c r="T91" s="505"/>
    </row>
    <row r="92" ht="15.75" customHeight="1">
      <c r="A92" s="511" t="s">
        <v>1742</v>
      </c>
      <c r="B92" s="511" t="s">
        <v>1743</v>
      </c>
      <c r="C92" s="511" t="s">
        <v>1062</v>
      </c>
      <c r="D92" s="511" t="s">
        <v>1744</v>
      </c>
      <c r="E92" s="508"/>
      <c r="F92" s="508"/>
      <c r="G92" s="508"/>
      <c r="H92" s="508"/>
      <c r="I92" s="508"/>
      <c r="J92" s="503" t="s">
        <v>1647</v>
      </c>
      <c r="K92" s="508" t="str">
        <f t="shared" si="3"/>
        <v>Jacob</v>
      </c>
      <c r="L92" s="503" t="s">
        <v>1648</v>
      </c>
      <c r="M92" s="508"/>
      <c r="N92" s="508"/>
      <c r="O92" s="508"/>
      <c r="P92" s="508"/>
      <c r="Q92" s="508"/>
      <c r="R92" s="508"/>
      <c r="S92" s="508"/>
      <c r="T92" s="505"/>
    </row>
    <row r="93" ht="15.75" customHeight="1">
      <c r="A93" s="540" t="str">
        <f>A92</f>
        <v>Jacob</v>
      </c>
      <c r="B93" s="511" t="s">
        <v>1745</v>
      </c>
      <c r="C93" s="511" t="s">
        <v>1746</v>
      </c>
      <c r="D93" s="511" t="s">
        <v>1747</v>
      </c>
      <c r="E93" s="508"/>
      <c r="F93" s="508"/>
      <c r="G93" s="508"/>
      <c r="H93" s="508"/>
      <c r="I93" s="508"/>
      <c r="J93" s="508"/>
      <c r="K93" s="508"/>
      <c r="L93" s="508"/>
      <c r="M93" s="508"/>
      <c r="N93" s="508"/>
      <c r="O93" s="508"/>
      <c r="P93" s="508"/>
      <c r="Q93" s="508"/>
      <c r="R93" s="508"/>
      <c r="S93" s="508"/>
      <c r="T93" s="505"/>
    </row>
    <row r="94" ht="15.75" customHeight="1">
      <c r="A94" s="511" t="s">
        <v>1748</v>
      </c>
      <c r="B94" s="511" t="s">
        <v>1036</v>
      </c>
      <c r="C94" s="511" t="s">
        <v>1037</v>
      </c>
      <c r="D94" s="503" t="s">
        <v>1749</v>
      </c>
      <c r="E94" s="508"/>
      <c r="F94" s="508"/>
      <c r="G94" s="508"/>
      <c r="H94" s="508"/>
      <c r="I94" s="508"/>
      <c r="J94" s="508"/>
      <c r="K94" s="508"/>
      <c r="L94" s="508"/>
      <c r="M94" s="508"/>
      <c r="N94" s="508"/>
      <c r="O94" s="508"/>
      <c r="P94" s="508"/>
      <c r="Q94" s="508"/>
      <c r="R94" s="508"/>
      <c r="S94" s="508"/>
      <c r="T94" s="505"/>
    </row>
    <row r="95" ht="15.75" customHeight="1">
      <c r="A95" s="540" t="s">
        <v>1750</v>
      </c>
      <c r="B95" s="511" t="s">
        <v>1751</v>
      </c>
      <c r="C95" s="511" t="s">
        <v>1037</v>
      </c>
      <c r="D95" s="508"/>
      <c r="E95" s="508"/>
      <c r="F95" s="508"/>
      <c r="G95" s="508"/>
      <c r="H95" s="508"/>
      <c r="I95" s="508"/>
      <c r="J95" s="508"/>
      <c r="K95" s="508"/>
      <c r="L95" s="508"/>
      <c r="M95" s="508"/>
      <c r="N95" s="508"/>
      <c r="O95" s="508"/>
      <c r="P95" s="508"/>
      <c r="Q95" s="508"/>
      <c r="R95" s="508"/>
      <c r="S95" s="508"/>
      <c r="T95" s="505"/>
    </row>
    <row r="96" ht="15.75" customHeight="1">
      <c r="A96" s="540" t="s">
        <v>1752</v>
      </c>
      <c r="B96" s="511" t="s">
        <v>1041</v>
      </c>
      <c r="C96" s="511" t="s">
        <v>1753</v>
      </c>
      <c r="D96" s="511" t="s">
        <v>1031</v>
      </c>
      <c r="E96" s="508"/>
      <c r="F96" s="508"/>
      <c r="G96" s="508"/>
      <c r="H96" s="508"/>
      <c r="I96" s="508"/>
      <c r="J96" s="508"/>
      <c r="K96" s="508"/>
      <c r="L96" s="508"/>
      <c r="M96" s="508"/>
      <c r="N96" s="508"/>
      <c r="O96" s="508"/>
      <c r="P96" s="508"/>
      <c r="Q96" s="508"/>
      <c r="R96" s="508"/>
      <c r="S96" s="508"/>
      <c r="T96" s="505"/>
    </row>
    <row r="97" ht="15.75" customHeight="1">
      <c r="A97" s="540" t="s">
        <v>1044</v>
      </c>
      <c r="B97" s="511" t="s">
        <v>1045</v>
      </c>
      <c r="C97" s="511" t="s">
        <v>1069</v>
      </c>
      <c r="D97" s="512" t="s">
        <v>1754</v>
      </c>
      <c r="E97" s="508"/>
      <c r="F97" s="508"/>
      <c r="G97" s="508"/>
      <c r="H97" s="508"/>
      <c r="I97" s="508"/>
      <c r="J97" s="508"/>
      <c r="K97" s="508"/>
      <c r="L97" s="508"/>
      <c r="M97" s="508"/>
      <c r="N97" s="508"/>
      <c r="O97" s="508"/>
      <c r="P97" s="508"/>
      <c r="Q97" s="508"/>
      <c r="R97" s="508"/>
      <c r="S97" s="508"/>
      <c r="T97" s="505"/>
    </row>
    <row r="98" ht="15.75" customHeight="1">
      <c r="A98" s="511" t="s">
        <v>1048</v>
      </c>
      <c r="B98" s="511" t="s">
        <v>1049</v>
      </c>
      <c r="C98" s="511" t="s">
        <v>1050</v>
      </c>
      <c r="D98" s="511" t="s">
        <v>1051</v>
      </c>
      <c r="E98" s="508"/>
      <c r="F98" s="503" t="s">
        <v>1755</v>
      </c>
      <c r="G98" s="508"/>
      <c r="H98" s="508"/>
      <c r="I98" s="508"/>
      <c r="J98" s="508"/>
      <c r="K98" s="508"/>
      <c r="L98" s="508"/>
      <c r="M98" s="508"/>
      <c r="N98" s="508"/>
      <c r="O98" s="508"/>
      <c r="P98" s="508"/>
      <c r="Q98" s="508"/>
      <c r="R98" s="508"/>
      <c r="S98" s="508"/>
      <c r="T98" s="505"/>
    </row>
    <row r="99" ht="15.75" customHeight="1">
      <c r="A99" s="540" t="s">
        <v>1052</v>
      </c>
      <c r="B99" s="511" t="s">
        <v>1053</v>
      </c>
      <c r="C99" s="511" t="s">
        <v>1756</v>
      </c>
      <c r="D99" s="512" t="s">
        <v>415</v>
      </c>
      <c r="E99" s="508"/>
      <c r="F99" s="508"/>
      <c r="G99" s="508"/>
      <c r="H99" s="508"/>
      <c r="I99" s="508"/>
      <c r="J99" s="508"/>
      <c r="K99" s="508"/>
      <c r="L99" s="508"/>
      <c r="M99" s="508"/>
      <c r="N99" s="508"/>
      <c r="O99" s="508"/>
      <c r="P99" s="508"/>
      <c r="Q99" s="508"/>
      <c r="R99" s="508"/>
      <c r="S99" s="508"/>
      <c r="T99" s="505"/>
    </row>
    <row r="100" ht="15.75" customHeight="1">
      <c r="A100" s="540" t="s">
        <v>1757</v>
      </c>
      <c r="B100" s="538" t="s">
        <v>1758</v>
      </c>
      <c r="C100" s="538" t="s">
        <v>1759</v>
      </c>
      <c r="D100" s="503" t="s">
        <v>1760</v>
      </c>
      <c r="E100" s="508"/>
      <c r="F100" s="508"/>
      <c r="G100" s="508"/>
      <c r="H100" s="508"/>
      <c r="I100" s="508"/>
      <c r="J100" s="508"/>
      <c r="K100" s="508"/>
      <c r="L100" s="508"/>
      <c r="M100" s="508"/>
      <c r="N100" s="508"/>
      <c r="O100" s="508"/>
      <c r="P100" s="508"/>
      <c r="Q100" s="508"/>
      <c r="R100" s="508"/>
      <c r="S100" s="508"/>
      <c r="T100" s="505"/>
    </row>
    <row r="101" ht="15.75" customHeight="1">
      <c r="A101" s="540" t="s">
        <v>1761</v>
      </c>
      <c r="B101" s="511" t="s">
        <v>1057</v>
      </c>
      <c r="C101" s="511" t="s">
        <v>1762</v>
      </c>
      <c r="D101" s="512" t="s">
        <v>135</v>
      </c>
      <c r="E101" s="508"/>
      <c r="F101" s="508"/>
      <c r="G101" s="508"/>
      <c r="H101" s="508"/>
      <c r="I101" s="508"/>
      <c r="J101" s="508"/>
      <c r="K101" s="508"/>
      <c r="L101" s="508"/>
      <c r="M101" s="508"/>
      <c r="N101" s="508"/>
      <c r="O101" s="508"/>
      <c r="P101" s="508"/>
      <c r="Q101" s="508"/>
      <c r="R101" s="508"/>
      <c r="S101" s="508"/>
      <c r="T101" s="505"/>
    </row>
    <row r="102" ht="15.75" customHeight="1">
      <c r="A102" s="540" t="s">
        <v>1060</v>
      </c>
      <c r="B102" s="511" t="s">
        <v>1061</v>
      </c>
      <c r="C102" s="511" t="s">
        <v>1069</v>
      </c>
      <c r="D102" s="512" t="s">
        <v>1749</v>
      </c>
      <c r="E102" s="508"/>
      <c r="F102" s="508"/>
      <c r="G102" s="508"/>
      <c r="H102" s="508"/>
      <c r="I102" s="508"/>
      <c r="J102" s="508"/>
      <c r="K102" s="508"/>
      <c r="L102" s="508"/>
      <c r="M102" s="508"/>
      <c r="N102" s="508"/>
      <c r="O102" s="508"/>
      <c r="P102" s="508"/>
      <c r="Q102" s="508"/>
      <c r="R102" s="508"/>
      <c r="S102" s="508"/>
      <c r="T102" s="505"/>
    </row>
    <row r="103" ht="15.75" customHeight="1">
      <c r="A103" s="558" t="s">
        <v>1063</v>
      </c>
      <c r="B103" s="511" t="s">
        <v>1064</v>
      </c>
      <c r="C103" s="511" t="s">
        <v>1065</v>
      </c>
      <c r="D103" s="511" t="s">
        <v>1763</v>
      </c>
      <c r="E103" s="503" t="s">
        <v>1764</v>
      </c>
      <c r="F103" s="508"/>
      <c r="G103" s="508"/>
      <c r="H103" s="508"/>
      <c r="I103" s="508"/>
      <c r="J103" s="508"/>
      <c r="K103" s="508"/>
      <c r="L103" s="508"/>
      <c r="M103" s="508"/>
      <c r="N103" s="508"/>
      <c r="O103" s="508"/>
      <c r="P103" s="508"/>
      <c r="Q103" s="508"/>
      <c r="R103" s="508"/>
      <c r="S103" s="508"/>
      <c r="T103" s="505"/>
    </row>
    <row r="104" ht="15.75" customHeight="1">
      <c r="A104" s="540" t="s">
        <v>1765</v>
      </c>
      <c r="B104" s="511" t="s">
        <v>1068</v>
      </c>
      <c r="C104" s="511" t="s">
        <v>1069</v>
      </c>
      <c r="D104" s="511"/>
      <c r="E104" s="508"/>
      <c r="F104" s="508"/>
      <c r="G104" s="508"/>
      <c r="H104" s="508"/>
      <c r="I104" s="508"/>
      <c r="J104" s="508"/>
      <c r="K104" s="508"/>
      <c r="L104" s="508"/>
      <c r="M104" s="508"/>
      <c r="N104" s="508"/>
      <c r="O104" s="508"/>
      <c r="P104" s="508"/>
      <c r="Q104" s="508"/>
      <c r="R104" s="508"/>
      <c r="S104" s="508"/>
      <c r="T104" s="505"/>
    </row>
    <row r="105" ht="15.75" customHeight="1">
      <c r="A105" s="540" t="s">
        <v>1766</v>
      </c>
      <c r="B105" s="511" t="s">
        <v>1767</v>
      </c>
      <c r="C105" s="559" t="s">
        <v>1651</v>
      </c>
      <c r="D105" s="511"/>
      <c r="E105" s="508"/>
      <c r="F105" s="508"/>
      <c r="G105" s="508"/>
      <c r="H105" s="508"/>
      <c r="I105" s="508"/>
      <c r="J105" s="508"/>
      <c r="K105" s="508"/>
      <c r="L105" s="508"/>
      <c r="M105" s="508"/>
      <c r="N105" s="508"/>
      <c r="O105" s="508"/>
      <c r="P105" s="508"/>
      <c r="Q105" s="508"/>
      <c r="R105" s="508"/>
      <c r="S105" s="508"/>
      <c r="T105" s="505"/>
    </row>
    <row r="106" ht="15.75" customHeight="1">
      <c r="A106" s="511" t="s">
        <v>1768</v>
      </c>
      <c r="B106" s="511" t="s">
        <v>1769</v>
      </c>
      <c r="C106" s="559" t="s">
        <v>1651</v>
      </c>
      <c r="D106" s="511"/>
      <c r="E106" s="560"/>
      <c r="F106" s="561"/>
      <c r="G106" s="561"/>
      <c r="H106" s="561"/>
      <c r="I106" s="519"/>
      <c r="J106" s="508"/>
      <c r="K106" s="508"/>
      <c r="L106" s="508"/>
      <c r="M106" s="508"/>
      <c r="N106" s="508"/>
      <c r="O106" s="508"/>
      <c r="P106" s="508"/>
      <c r="Q106" s="508"/>
      <c r="R106" s="508"/>
      <c r="S106" s="508"/>
      <c r="T106" s="505"/>
    </row>
    <row r="107" ht="15.75" customHeight="1">
      <c r="A107" s="562" t="s">
        <v>1770</v>
      </c>
      <c r="B107" s="562" t="s">
        <v>1771</v>
      </c>
      <c r="C107" s="559" t="s">
        <v>1651</v>
      </c>
      <c r="D107" s="561"/>
      <c r="E107" s="506"/>
      <c r="F107" s="506"/>
      <c r="G107" s="506"/>
      <c r="H107" s="506"/>
      <c r="I107" s="519"/>
      <c r="J107" s="508"/>
      <c r="K107" s="508"/>
      <c r="L107" s="508"/>
      <c r="M107" s="508"/>
      <c r="N107" s="508"/>
      <c r="O107" s="508"/>
      <c r="P107" s="508"/>
      <c r="Q107" s="508"/>
      <c r="R107" s="508"/>
      <c r="S107" s="508"/>
      <c r="T107" s="505"/>
    </row>
    <row r="108" ht="15.75" customHeight="1">
      <c r="A108" s="559" t="s">
        <v>1772</v>
      </c>
      <c r="B108" s="559" t="s">
        <v>1773</v>
      </c>
      <c r="C108" s="559" t="s">
        <v>1651</v>
      </c>
      <c r="D108" s="506"/>
      <c r="E108" s="506"/>
      <c r="F108" s="506"/>
      <c r="G108" s="506"/>
      <c r="H108" s="506"/>
      <c r="I108" s="519"/>
      <c r="J108" s="508"/>
      <c r="K108" s="508"/>
      <c r="L108" s="508"/>
      <c r="M108" s="508"/>
      <c r="N108" s="508"/>
      <c r="O108" s="508"/>
      <c r="P108" s="508"/>
      <c r="Q108" s="508"/>
      <c r="R108" s="508"/>
      <c r="S108" s="508"/>
      <c r="T108" s="505"/>
    </row>
    <row r="109" ht="15.75" customHeight="1">
      <c r="A109" s="563" t="s">
        <v>1774</v>
      </c>
      <c r="B109" s="559" t="s">
        <v>1775</v>
      </c>
      <c r="C109" s="559" t="s">
        <v>1776</v>
      </c>
      <c r="D109" s="559" t="s">
        <v>1777</v>
      </c>
      <c r="E109" s="506"/>
      <c r="F109" s="506"/>
      <c r="G109" s="506"/>
      <c r="H109" s="506"/>
      <c r="I109" s="519"/>
      <c r="J109" s="508"/>
      <c r="K109" s="508"/>
      <c r="L109" s="508"/>
      <c r="M109" s="508"/>
      <c r="N109" s="508"/>
      <c r="O109" s="508"/>
      <c r="P109" s="508"/>
      <c r="Q109" s="508"/>
      <c r="R109" s="508"/>
      <c r="S109" s="508"/>
      <c r="T109" s="505"/>
    </row>
    <row r="110" ht="15.75" customHeight="1">
      <c r="A110" s="559" t="s">
        <v>1021</v>
      </c>
      <c r="B110" s="559" t="s">
        <v>1022</v>
      </c>
      <c r="C110" s="559" t="s">
        <v>1023</v>
      </c>
      <c r="D110" s="559"/>
      <c r="E110" s="506"/>
      <c r="F110" s="506"/>
      <c r="G110" s="506"/>
      <c r="H110" s="506"/>
      <c r="I110" s="519"/>
      <c r="J110" s="508"/>
      <c r="K110" s="508"/>
      <c r="L110" s="508"/>
      <c r="M110" s="508"/>
      <c r="N110" s="508"/>
      <c r="O110" s="508"/>
      <c r="P110" s="508"/>
      <c r="Q110" s="508"/>
      <c r="R110" s="508"/>
      <c r="S110" s="508"/>
      <c r="T110" s="505"/>
    </row>
    <row r="111" ht="15.75" customHeight="1">
      <c r="A111" s="563" t="s">
        <v>1778</v>
      </c>
      <c r="B111" s="559" t="s">
        <v>1779</v>
      </c>
      <c r="C111" s="559" t="s">
        <v>1780</v>
      </c>
      <c r="D111" s="559"/>
      <c r="E111" s="559"/>
      <c r="F111" s="506"/>
      <c r="G111" s="506"/>
      <c r="H111" s="506"/>
      <c r="I111" s="519"/>
      <c r="J111" s="508"/>
      <c r="K111" s="508"/>
      <c r="L111" s="508"/>
      <c r="M111" s="508"/>
      <c r="N111" s="508"/>
      <c r="O111" s="508"/>
      <c r="P111" s="508"/>
      <c r="Q111" s="508"/>
      <c r="R111" s="508"/>
      <c r="S111" s="508"/>
      <c r="T111" s="505"/>
    </row>
    <row r="112" ht="15.75" customHeight="1">
      <c r="A112" s="563" t="s">
        <v>1781</v>
      </c>
      <c r="B112" s="559" t="s">
        <v>1782</v>
      </c>
      <c r="C112" s="559" t="s">
        <v>1023</v>
      </c>
      <c r="D112" s="559"/>
      <c r="E112" s="559"/>
      <c r="F112" s="506"/>
      <c r="G112" s="506"/>
      <c r="H112" s="506"/>
      <c r="I112" s="519"/>
      <c r="J112" s="508"/>
      <c r="K112" s="508"/>
      <c r="L112" s="508"/>
      <c r="M112" s="508"/>
      <c r="N112" s="508"/>
      <c r="O112" s="508"/>
      <c r="P112" s="508"/>
      <c r="Q112" s="508"/>
      <c r="R112" s="508"/>
      <c r="S112" s="508"/>
      <c r="T112" s="505"/>
    </row>
    <row r="113" ht="15.75" customHeight="1">
      <c r="A113" s="563" t="s">
        <v>1783</v>
      </c>
      <c r="B113" s="559" t="s">
        <v>1784</v>
      </c>
      <c r="C113" s="559" t="s">
        <v>1785</v>
      </c>
      <c r="D113" s="559"/>
      <c r="E113" s="559"/>
      <c r="F113" s="506"/>
      <c r="G113" s="506"/>
      <c r="H113" s="506"/>
      <c r="I113" s="519"/>
      <c r="J113" s="508"/>
      <c r="K113" s="508"/>
      <c r="L113" s="508"/>
      <c r="M113" s="508"/>
      <c r="N113" s="508"/>
      <c r="O113" s="508"/>
      <c r="P113" s="508"/>
      <c r="Q113" s="508"/>
      <c r="R113" s="508"/>
      <c r="S113" s="508"/>
      <c r="T113" s="505"/>
    </row>
    <row r="114" ht="15.75" customHeight="1">
      <c r="A114" s="501" t="s">
        <v>1786</v>
      </c>
      <c r="B114" s="527" t="s">
        <v>1787</v>
      </c>
      <c r="C114" s="501" t="s">
        <v>1788</v>
      </c>
      <c r="D114" s="559"/>
      <c r="E114" s="559"/>
      <c r="F114" s="506"/>
      <c r="G114" s="506"/>
      <c r="H114" s="506"/>
      <c r="I114" s="519"/>
      <c r="J114" s="508"/>
      <c r="K114" s="508"/>
      <c r="L114" s="508"/>
      <c r="M114" s="508"/>
      <c r="N114" s="508"/>
      <c r="O114" s="508"/>
      <c r="P114" s="508"/>
      <c r="Q114" s="508"/>
      <c r="R114" s="508"/>
      <c r="S114" s="508"/>
      <c r="T114" s="505"/>
    </row>
    <row r="115" ht="15.75" customHeight="1">
      <c r="A115" s="564" t="s">
        <v>1789</v>
      </c>
      <c r="B115" s="565" t="s">
        <v>1790</v>
      </c>
      <c r="C115" s="566" t="s">
        <v>1788</v>
      </c>
      <c r="D115" s="559"/>
      <c r="E115" s="559" t="s">
        <v>1791</v>
      </c>
      <c r="F115" s="506"/>
      <c r="G115" s="506"/>
      <c r="H115" s="506"/>
      <c r="I115" s="519"/>
      <c r="J115" s="508"/>
      <c r="K115" s="508"/>
      <c r="L115" s="508"/>
      <c r="M115" s="508"/>
      <c r="N115" s="508"/>
      <c r="O115" s="508"/>
      <c r="P115" s="508"/>
      <c r="Q115" s="508"/>
      <c r="R115" s="508"/>
      <c r="S115" s="508"/>
      <c r="T115" s="505"/>
    </row>
    <row r="116" ht="15.75" customHeight="1">
      <c r="A116" s="564" t="s">
        <v>1792</v>
      </c>
      <c r="B116" s="566" t="s">
        <v>1793</v>
      </c>
      <c r="C116" s="566" t="s">
        <v>1788</v>
      </c>
      <c r="D116" s="559"/>
      <c r="E116" s="559" t="s">
        <v>1794</v>
      </c>
      <c r="F116" s="506"/>
      <c r="G116" s="506"/>
      <c r="H116" s="506"/>
      <c r="I116" s="519"/>
      <c r="J116" s="508"/>
      <c r="K116" s="508"/>
      <c r="L116" s="508"/>
      <c r="M116" s="508"/>
      <c r="N116" s="508"/>
      <c r="O116" s="508"/>
      <c r="P116" s="508"/>
      <c r="Q116" s="508"/>
      <c r="R116" s="508"/>
      <c r="S116" s="508"/>
      <c r="T116" s="505"/>
    </row>
    <row r="117" ht="15.75" customHeight="1">
      <c r="A117" s="559" t="s">
        <v>1795</v>
      </c>
      <c r="B117" s="566"/>
      <c r="C117" s="566"/>
      <c r="D117" s="559"/>
      <c r="E117" s="559"/>
      <c r="F117" s="506"/>
      <c r="G117" s="506"/>
      <c r="H117" s="506"/>
      <c r="I117" s="519"/>
      <c r="J117" s="508"/>
      <c r="K117" s="508"/>
      <c r="L117" s="508"/>
      <c r="M117" s="508"/>
      <c r="N117" s="508"/>
      <c r="O117" s="508"/>
      <c r="P117" s="508"/>
      <c r="Q117" s="508"/>
      <c r="R117" s="508"/>
      <c r="S117" s="508"/>
      <c r="T117" s="505"/>
    </row>
    <row r="118" ht="15.75" customHeight="1">
      <c r="A118" s="52" t="s">
        <v>1796</v>
      </c>
      <c r="B118" s="46" t="s">
        <v>1168</v>
      </c>
      <c r="C118" s="46" t="s">
        <v>428</v>
      </c>
      <c r="D118" s="567">
        <v>8.062825E8</v>
      </c>
      <c r="E118" s="559"/>
      <c r="F118" s="506"/>
      <c r="G118" s="506"/>
      <c r="H118" s="506"/>
      <c r="I118" s="519"/>
      <c r="J118" s="508"/>
      <c r="K118" s="508"/>
      <c r="L118" s="508"/>
      <c r="M118" s="508"/>
      <c r="N118" s="508"/>
      <c r="O118" s="508"/>
      <c r="P118" s="508"/>
      <c r="Q118" s="508"/>
      <c r="R118" s="508"/>
      <c r="S118" s="508"/>
      <c r="T118" s="505"/>
    </row>
    <row r="119" ht="15.75" customHeight="1">
      <c r="A119" s="52" t="s">
        <v>1797</v>
      </c>
      <c r="B119" s="46" t="s">
        <v>1148</v>
      </c>
      <c r="C119" s="46" t="s">
        <v>1798</v>
      </c>
      <c r="D119" s="559"/>
      <c r="E119" s="559"/>
      <c r="F119" s="506"/>
      <c r="G119" s="506"/>
      <c r="H119" s="506"/>
      <c r="I119" s="519"/>
      <c r="J119" s="508"/>
      <c r="K119" s="508"/>
      <c r="L119" s="508"/>
      <c r="M119" s="508"/>
      <c r="N119" s="508"/>
      <c r="O119" s="508"/>
      <c r="P119" s="508"/>
      <c r="Q119" s="508"/>
      <c r="R119" s="508"/>
      <c r="S119" s="508"/>
      <c r="T119" s="505"/>
    </row>
    <row r="120" ht="15.75" customHeight="1">
      <c r="A120" s="568" t="s">
        <v>1799</v>
      </c>
      <c r="B120" s="568" t="s">
        <v>239</v>
      </c>
      <c r="C120" s="568" t="s">
        <v>240</v>
      </c>
      <c r="D120" s="568" t="s">
        <v>1555</v>
      </c>
      <c r="E120" s="568" t="s">
        <v>1556</v>
      </c>
      <c r="F120" s="504"/>
      <c r="G120" s="504"/>
      <c r="H120" s="504"/>
      <c r="I120" s="508"/>
      <c r="J120" s="508"/>
      <c r="K120" s="508"/>
      <c r="L120" s="508"/>
      <c r="M120" s="508"/>
      <c r="N120" s="508"/>
      <c r="O120" s="508"/>
      <c r="P120" s="508"/>
      <c r="Q120" s="508"/>
      <c r="R120" s="508"/>
      <c r="S120" s="508"/>
      <c r="T120" s="505"/>
    </row>
    <row r="121" ht="15.75" customHeight="1">
      <c r="A121" s="511" t="s">
        <v>1799</v>
      </c>
      <c r="B121" s="512" t="s">
        <v>367</v>
      </c>
      <c r="C121" s="511" t="s">
        <v>368</v>
      </c>
      <c r="D121" s="569" t="s">
        <v>1800</v>
      </c>
      <c r="E121" s="539"/>
      <c r="F121" s="560"/>
      <c r="G121" s="519"/>
      <c r="H121" s="508"/>
      <c r="I121" s="508"/>
      <c r="J121" s="508"/>
      <c r="K121" s="508"/>
      <c r="L121" s="508"/>
      <c r="M121" s="508"/>
      <c r="N121" s="508"/>
      <c r="O121" s="508"/>
      <c r="P121" s="508"/>
      <c r="Q121" s="508"/>
      <c r="R121" s="508"/>
      <c r="S121" s="508"/>
      <c r="T121" s="505"/>
    </row>
    <row r="122" ht="15.75" customHeight="1">
      <c r="A122" s="512" t="s">
        <v>1801</v>
      </c>
      <c r="B122" s="512" t="s">
        <v>1802</v>
      </c>
      <c r="C122" s="512" t="s">
        <v>1803</v>
      </c>
      <c r="D122" s="570"/>
      <c r="E122" s="539"/>
      <c r="F122" s="505"/>
      <c r="G122" s="519"/>
      <c r="H122" s="508"/>
      <c r="I122" s="508"/>
      <c r="J122" s="508"/>
      <c r="K122" s="508"/>
      <c r="L122" s="508"/>
      <c r="M122" s="508"/>
      <c r="N122" s="508"/>
      <c r="O122" s="508"/>
      <c r="P122" s="508"/>
      <c r="Q122" s="508"/>
      <c r="R122" s="508"/>
      <c r="S122" s="508"/>
      <c r="T122" s="505"/>
    </row>
    <row r="123" ht="15.75" customHeight="1">
      <c r="A123" s="512" t="s">
        <v>1804</v>
      </c>
      <c r="B123" s="512" t="s">
        <v>1805</v>
      </c>
      <c r="C123" s="512" t="s">
        <v>1806</v>
      </c>
      <c r="D123" s="570"/>
      <c r="E123" s="539"/>
      <c r="F123" s="505"/>
      <c r="G123" s="519"/>
      <c r="H123" s="508"/>
      <c r="I123" s="508"/>
      <c r="J123" s="508"/>
      <c r="K123" s="508"/>
      <c r="L123" s="508"/>
      <c r="M123" s="508"/>
      <c r="N123" s="508"/>
      <c r="O123" s="508"/>
      <c r="P123" s="508"/>
      <c r="Q123" s="508"/>
      <c r="R123" s="508"/>
      <c r="S123" s="508"/>
      <c r="T123" s="505"/>
    </row>
    <row r="124" ht="15.75" customHeight="1">
      <c r="A124" s="512" t="s">
        <v>1807</v>
      </c>
      <c r="B124" s="512" t="s">
        <v>1808</v>
      </c>
      <c r="C124" s="512" t="s">
        <v>1803</v>
      </c>
      <c r="D124" s="570"/>
      <c r="E124" s="539"/>
      <c r="F124" s="505"/>
      <c r="G124" s="519"/>
      <c r="H124" s="508"/>
      <c r="I124" s="508"/>
      <c r="J124" s="508"/>
      <c r="K124" s="508"/>
      <c r="L124" s="508"/>
      <c r="M124" s="508"/>
      <c r="N124" s="508"/>
      <c r="O124" s="508"/>
      <c r="P124" s="508"/>
      <c r="Q124" s="508"/>
      <c r="R124" s="508"/>
      <c r="S124" s="508"/>
      <c r="T124" s="505"/>
    </row>
    <row r="125" ht="15.75" customHeight="1">
      <c r="A125" s="46" t="s">
        <v>1809</v>
      </c>
      <c r="B125" s="512" t="s">
        <v>1810</v>
      </c>
      <c r="C125" s="525" t="s">
        <v>1811</v>
      </c>
      <c r="D125" s="570"/>
      <c r="E125" s="539"/>
      <c r="F125" s="505"/>
      <c r="G125" s="519"/>
      <c r="H125" s="508"/>
      <c r="I125" s="508"/>
      <c r="J125" s="508"/>
      <c r="K125" s="508"/>
      <c r="L125" s="508"/>
      <c r="M125" s="508"/>
      <c r="N125" s="508"/>
      <c r="O125" s="508"/>
      <c r="P125" s="508"/>
      <c r="Q125" s="508"/>
      <c r="R125" s="508"/>
      <c r="S125" s="508"/>
      <c r="T125" s="505"/>
    </row>
    <row r="126" ht="15.75" customHeight="1">
      <c r="A126" s="512" t="s">
        <v>1812</v>
      </c>
      <c r="B126" s="525" t="s">
        <v>1813</v>
      </c>
      <c r="C126" s="525" t="s">
        <v>1814</v>
      </c>
      <c r="D126" s="570"/>
      <c r="E126" s="539"/>
      <c r="F126" s="505"/>
      <c r="G126" s="519"/>
      <c r="H126" s="508"/>
      <c r="I126" s="508"/>
      <c r="J126" s="508"/>
      <c r="K126" s="508"/>
      <c r="L126" s="508"/>
      <c r="M126" s="508"/>
      <c r="N126" s="508"/>
      <c r="O126" s="508"/>
      <c r="P126" s="508"/>
      <c r="Q126" s="508"/>
      <c r="R126" s="508"/>
      <c r="S126" s="508"/>
      <c r="T126" s="505"/>
    </row>
    <row r="127" ht="15.75" customHeight="1">
      <c r="A127" s="513" t="s">
        <v>1815</v>
      </c>
      <c r="B127" s="513" t="s">
        <v>239</v>
      </c>
      <c r="C127" s="513" t="s">
        <v>240</v>
      </c>
      <c r="D127" s="513" t="s">
        <v>1555</v>
      </c>
      <c r="E127" s="513" t="s">
        <v>1556</v>
      </c>
      <c r="F127" s="505"/>
      <c r="G127" s="519"/>
      <c r="H127" s="508"/>
      <c r="I127" s="508"/>
      <c r="J127" s="508"/>
      <c r="K127" s="508"/>
      <c r="L127" s="508"/>
      <c r="M127" s="508"/>
      <c r="N127" s="508"/>
      <c r="O127" s="508"/>
      <c r="P127" s="508"/>
      <c r="Q127" s="508"/>
      <c r="R127" s="508"/>
      <c r="S127" s="508"/>
      <c r="T127" s="505"/>
    </row>
    <row r="128" ht="15.75" customHeight="1">
      <c r="A128" s="571" t="s">
        <v>1816</v>
      </c>
      <c r="B128" s="572" t="s">
        <v>1138</v>
      </c>
      <c r="C128" s="572" t="s">
        <v>1817</v>
      </c>
      <c r="D128" s="561"/>
      <c r="E128" s="573"/>
      <c r="F128" s="505"/>
      <c r="G128" s="519"/>
      <c r="H128" s="508"/>
      <c r="I128" s="508"/>
      <c r="J128" s="508"/>
      <c r="K128" s="508"/>
      <c r="L128" s="508"/>
      <c r="M128" s="508"/>
      <c r="N128" s="508"/>
      <c r="O128" s="508"/>
      <c r="P128" s="508"/>
      <c r="Q128" s="508"/>
      <c r="R128" s="508"/>
      <c r="S128" s="508"/>
      <c r="T128" s="505"/>
    </row>
    <row r="129" ht="15.75" customHeight="1">
      <c r="A129" s="574" t="s">
        <v>1818</v>
      </c>
      <c r="B129" s="559" t="s">
        <v>669</v>
      </c>
      <c r="C129" s="559" t="s">
        <v>670</v>
      </c>
      <c r="D129" s="506"/>
      <c r="E129" s="573"/>
      <c r="F129" s="505"/>
      <c r="G129" s="519"/>
      <c r="H129" s="508"/>
      <c r="I129" s="508"/>
      <c r="J129" s="508"/>
      <c r="K129" s="508"/>
      <c r="L129" s="508"/>
      <c r="M129" s="508"/>
      <c r="N129" s="508"/>
      <c r="O129" s="508"/>
      <c r="P129" s="508"/>
      <c r="Q129" s="508"/>
      <c r="R129" s="508"/>
      <c r="S129" s="508"/>
      <c r="T129" s="505"/>
    </row>
    <row r="130" ht="15.75" customHeight="1">
      <c r="A130" s="563" t="s">
        <v>1819</v>
      </c>
      <c r="B130" s="575" t="s">
        <v>1820</v>
      </c>
      <c r="C130" s="559" t="s">
        <v>1821</v>
      </c>
      <c r="D130" s="506"/>
      <c r="E130" s="573"/>
      <c r="F130" s="505"/>
      <c r="G130" s="519"/>
      <c r="H130" s="508"/>
      <c r="I130" s="560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06"/>
    </row>
    <row r="131" ht="15.75" customHeight="1">
      <c r="A131" s="576" t="s">
        <v>1153</v>
      </c>
      <c r="B131" s="577" t="s">
        <v>1154</v>
      </c>
      <c r="C131" s="577" t="s">
        <v>1822</v>
      </c>
      <c r="D131" s="578"/>
      <c r="E131" s="508"/>
      <c r="F131" s="505"/>
      <c r="G131" s="519"/>
      <c r="H131" s="508"/>
      <c r="I131" s="505"/>
      <c r="J131" s="506"/>
      <c r="K131" s="506"/>
      <c r="L131" s="506"/>
      <c r="M131" s="506"/>
      <c r="N131" s="506"/>
      <c r="O131" s="506"/>
      <c r="P131" s="506"/>
      <c r="Q131" s="506"/>
      <c r="R131" s="506"/>
      <c r="S131" s="506"/>
      <c r="T131" s="506"/>
    </row>
    <row r="132" ht="15.75" customHeight="1">
      <c r="A132" s="540" t="s">
        <v>1198</v>
      </c>
      <c r="B132" s="511" t="s">
        <v>1199</v>
      </c>
      <c r="C132" s="511" t="s">
        <v>1823</v>
      </c>
      <c r="D132" s="539"/>
      <c r="E132" s="508"/>
      <c r="F132" s="505"/>
      <c r="G132" s="519"/>
      <c r="H132" s="508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5"/>
    </row>
    <row r="133" ht="15.75" customHeight="1">
      <c r="A133" s="540" t="s">
        <v>1100</v>
      </c>
      <c r="B133" s="511" t="s">
        <v>1101</v>
      </c>
      <c r="C133" s="511" t="s">
        <v>1824</v>
      </c>
      <c r="D133" s="511" t="s">
        <v>1825</v>
      </c>
      <c r="E133" s="560"/>
      <c r="F133" s="506"/>
      <c r="G133" s="561"/>
      <c r="H133" s="561"/>
      <c r="I133" s="519"/>
      <c r="J133" s="508"/>
      <c r="K133" s="508"/>
      <c r="L133" s="508"/>
      <c r="M133" s="508"/>
      <c r="N133" s="508"/>
      <c r="O133" s="508"/>
      <c r="P133" s="508"/>
      <c r="Q133" s="508"/>
      <c r="R133" s="508"/>
      <c r="S133" s="508"/>
      <c r="T133" s="504"/>
    </row>
    <row r="134" ht="15.75" customHeight="1">
      <c r="A134" s="511" t="s">
        <v>463</v>
      </c>
      <c r="B134" s="511" t="s">
        <v>465</v>
      </c>
      <c r="C134" s="512" t="s">
        <v>1120</v>
      </c>
      <c r="D134" s="512"/>
      <c r="E134" s="505"/>
      <c r="F134" s="506"/>
      <c r="G134" s="506"/>
      <c r="H134" s="506"/>
      <c r="I134" s="519"/>
      <c r="J134" s="508"/>
      <c r="K134" s="508"/>
      <c r="L134" s="508"/>
      <c r="M134" s="508"/>
      <c r="N134" s="508"/>
      <c r="O134" s="508"/>
      <c r="P134" s="508"/>
      <c r="Q134" s="508"/>
      <c r="R134" s="508"/>
      <c r="S134" s="508"/>
      <c r="T134" s="508"/>
    </row>
    <row r="135" ht="15.75" customHeight="1">
      <c r="A135" s="572" t="s">
        <v>1826</v>
      </c>
      <c r="B135" s="561"/>
      <c r="C135" s="561"/>
      <c r="D135" s="561"/>
      <c r="E135" s="579" t="s">
        <v>1827</v>
      </c>
      <c r="F135" s="506"/>
      <c r="G135" s="506"/>
      <c r="H135" s="506"/>
      <c r="I135" s="519"/>
      <c r="J135" s="508"/>
      <c r="K135" s="508"/>
      <c r="L135" s="508"/>
      <c r="M135" s="508"/>
      <c r="N135" s="508"/>
      <c r="O135" s="508"/>
      <c r="P135" s="508"/>
      <c r="Q135" s="508"/>
      <c r="R135" s="508"/>
      <c r="S135" s="508"/>
      <c r="T135" s="508"/>
    </row>
    <row r="136" ht="15.75" customHeight="1">
      <c r="A136" s="559" t="s">
        <v>204</v>
      </c>
      <c r="B136" s="559" t="s">
        <v>1828</v>
      </c>
      <c r="C136" s="371" t="s">
        <v>1829</v>
      </c>
      <c r="D136" s="506"/>
      <c r="E136" s="580"/>
      <c r="F136" s="506"/>
      <c r="G136" s="506"/>
      <c r="H136" s="506"/>
      <c r="I136" s="581"/>
      <c r="J136" s="581"/>
      <c r="K136" s="581"/>
      <c r="L136" s="581"/>
      <c r="M136" s="581"/>
      <c r="N136" s="581"/>
      <c r="O136" s="581"/>
      <c r="P136" s="581"/>
      <c r="Q136" s="581"/>
      <c r="R136" s="581"/>
      <c r="S136" s="581"/>
      <c r="T136" s="581"/>
    </row>
    <row r="137" ht="15.75" customHeight="1">
      <c r="A137" s="574"/>
      <c r="C137" s="506"/>
      <c r="D137" s="506"/>
      <c r="E137" s="580"/>
      <c r="F137" s="506"/>
      <c r="G137" s="506"/>
      <c r="H137" s="506"/>
      <c r="I137" s="581"/>
      <c r="J137" s="581"/>
      <c r="K137" s="581"/>
      <c r="L137" s="581"/>
      <c r="M137" s="581"/>
      <c r="N137" s="581"/>
      <c r="O137" s="581"/>
      <c r="P137" s="581"/>
      <c r="Q137" s="581"/>
      <c r="R137" s="581"/>
      <c r="S137" s="581"/>
      <c r="T137" s="581"/>
    </row>
    <row r="138" ht="15.75" customHeight="1">
      <c r="A138" s="574"/>
      <c r="B138" s="559" t="s">
        <v>1830</v>
      </c>
      <c r="C138" s="559" t="s">
        <v>1831</v>
      </c>
      <c r="D138" s="506"/>
      <c r="E138" s="580"/>
      <c r="F138" s="506"/>
      <c r="G138" s="506"/>
      <c r="H138" s="506"/>
      <c r="I138" s="581"/>
      <c r="J138" s="581"/>
      <c r="K138" s="581"/>
      <c r="L138" s="581"/>
      <c r="M138" s="581"/>
      <c r="N138" s="581"/>
      <c r="O138" s="581"/>
      <c r="P138" s="581"/>
      <c r="Q138" s="581"/>
      <c r="R138" s="581"/>
      <c r="S138" s="581"/>
      <c r="T138" s="581"/>
    </row>
    <row r="139" ht="15.75" customHeight="1">
      <c r="A139" s="574"/>
      <c r="B139" s="506"/>
      <c r="C139" s="506"/>
      <c r="D139" s="506"/>
      <c r="E139" s="580"/>
      <c r="F139" s="506"/>
      <c r="G139" s="506"/>
      <c r="H139" s="506"/>
      <c r="I139" s="581"/>
      <c r="J139" s="581"/>
      <c r="K139" s="581"/>
      <c r="L139" s="581"/>
      <c r="M139" s="581"/>
      <c r="N139" s="581"/>
      <c r="O139" s="581"/>
      <c r="P139" s="581"/>
      <c r="Q139" s="581"/>
      <c r="R139" s="581"/>
      <c r="S139" s="581"/>
      <c r="T139" s="581"/>
    </row>
    <row r="140" ht="15.75" customHeight="1">
      <c r="A140" s="559" t="s">
        <v>1832</v>
      </c>
      <c r="B140" s="559" t="s">
        <v>1833</v>
      </c>
      <c r="C140" s="559" t="s">
        <v>1651</v>
      </c>
      <c r="D140" s="506"/>
      <c r="E140" s="582" t="s">
        <v>1834</v>
      </c>
      <c r="F140" s="506"/>
      <c r="G140" s="506"/>
      <c r="H140" s="506"/>
      <c r="I140" s="581"/>
      <c r="J140" s="581"/>
      <c r="K140" s="581"/>
      <c r="L140" s="581"/>
      <c r="M140" s="581"/>
      <c r="N140" s="581"/>
      <c r="O140" s="581"/>
      <c r="P140" s="581"/>
      <c r="Q140" s="581"/>
      <c r="R140" s="581"/>
      <c r="S140" s="581"/>
      <c r="T140" s="581"/>
    </row>
    <row r="141" ht="15.75" customHeight="1">
      <c r="A141" s="559" t="s">
        <v>1835</v>
      </c>
      <c r="B141" s="583" t="s">
        <v>1836</v>
      </c>
      <c r="C141" s="559" t="s">
        <v>1837</v>
      </c>
      <c r="D141" s="506"/>
      <c r="E141" s="582" t="s">
        <v>1833</v>
      </c>
      <c r="F141" s="506"/>
      <c r="G141" s="506"/>
      <c r="H141" s="506"/>
      <c r="I141" s="581"/>
      <c r="J141" s="581"/>
      <c r="K141" s="581"/>
      <c r="L141" s="581"/>
      <c r="M141" s="581"/>
      <c r="N141" s="581"/>
      <c r="O141" s="581"/>
      <c r="P141" s="581"/>
      <c r="Q141" s="581"/>
      <c r="R141" s="581"/>
      <c r="S141" s="581"/>
      <c r="T141" s="581"/>
    </row>
    <row r="142" ht="15.75" customHeight="1">
      <c r="A142" s="574"/>
      <c r="B142" s="506"/>
      <c r="C142" s="506"/>
      <c r="D142" s="506"/>
      <c r="E142" s="582">
        <v>12345.0</v>
      </c>
      <c r="F142" s="506"/>
      <c r="G142" s="506"/>
      <c r="H142" s="506"/>
      <c r="I142" s="581"/>
      <c r="J142" s="581"/>
      <c r="K142" s="581"/>
      <c r="L142" s="581"/>
      <c r="M142" s="581"/>
      <c r="N142" s="581"/>
      <c r="O142" s="581"/>
      <c r="P142" s="581"/>
      <c r="Q142" s="581"/>
      <c r="R142" s="581"/>
      <c r="S142" s="581"/>
      <c r="T142" s="581"/>
    </row>
    <row r="143" ht="15.75" customHeight="1">
      <c r="A143" s="559" t="s">
        <v>1838</v>
      </c>
      <c r="B143" s="584" t="s">
        <v>1563</v>
      </c>
      <c r="C143" s="525" t="s">
        <v>1564</v>
      </c>
      <c r="D143" s="506"/>
      <c r="E143" s="580"/>
      <c r="F143" s="506"/>
      <c r="G143" s="506"/>
      <c r="H143" s="506"/>
      <c r="I143" s="581"/>
      <c r="J143" s="581"/>
      <c r="K143" s="581"/>
      <c r="L143" s="581"/>
      <c r="M143" s="581"/>
      <c r="N143" s="581"/>
      <c r="O143" s="581"/>
      <c r="P143" s="581"/>
      <c r="Q143" s="581"/>
      <c r="R143" s="581"/>
      <c r="S143" s="581"/>
      <c r="T143" s="581"/>
    </row>
    <row r="144" ht="15.75" customHeight="1">
      <c r="A144" s="574"/>
      <c r="B144" s="506"/>
      <c r="C144" s="559" t="s">
        <v>1811</v>
      </c>
      <c r="D144" s="506"/>
      <c r="E144" s="580"/>
      <c r="F144" s="506"/>
      <c r="G144" s="506"/>
      <c r="H144" s="506"/>
      <c r="I144" s="581"/>
      <c r="J144" s="581"/>
      <c r="K144" s="581"/>
      <c r="L144" s="581"/>
      <c r="M144" s="581"/>
      <c r="N144" s="581"/>
      <c r="O144" s="581"/>
      <c r="P144" s="581"/>
      <c r="Q144" s="581"/>
      <c r="R144" s="581"/>
      <c r="S144" s="581"/>
      <c r="T144" s="581"/>
    </row>
    <row r="145" ht="15.75" customHeight="1">
      <c r="A145" s="574"/>
      <c r="B145" s="506"/>
      <c r="C145" s="525" t="s">
        <v>1564</v>
      </c>
      <c r="D145" s="506"/>
      <c r="E145" s="580"/>
      <c r="F145" s="506"/>
      <c r="G145" s="506"/>
      <c r="H145" s="506"/>
      <c r="I145" s="581"/>
      <c r="J145" s="581"/>
      <c r="K145" s="581"/>
      <c r="L145" s="581"/>
      <c r="M145" s="581"/>
      <c r="N145" s="581"/>
      <c r="O145" s="581"/>
      <c r="P145" s="581"/>
      <c r="Q145" s="581"/>
      <c r="R145" s="581"/>
      <c r="S145" s="581"/>
      <c r="T145" s="581"/>
    </row>
  </sheetData>
  <hyperlinks>
    <hyperlink r:id="rId1" ref="F17"/>
    <hyperlink r:id="rId2" ref="E64"/>
    <hyperlink r:id="rId3" ref="E65"/>
    <hyperlink r:id="rId4" ref="E66"/>
    <hyperlink r:id="rId5" ref="E69"/>
    <hyperlink r:id="rId6" ref="E75"/>
    <hyperlink r:id="rId7" ref="E135"/>
  </hyperlinks>
  <drawing r:id="rId8"/>
</worksheet>
</file>